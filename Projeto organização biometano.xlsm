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epegovbr-my.sharepoint.com/personal/danilo_perecin_epe_gov_br/Documents/Arquivos de Chat do Microsoft Teams/"/>
    </mc:Choice>
  </mc:AlternateContent>
  <xr:revisionPtr revIDLastSave="18290" documentId="8_{2652AE18-9754-4444-A4A2-76C15C54AA16}" xr6:coauthVersionLast="47" xr6:coauthVersionMax="47" xr10:uidLastSave="{C0F39928-4D67-4718-8F8C-35AA15C30619}"/>
  <bookViews>
    <workbookView xWindow="-120" yWindow="-120" windowWidth="29040" windowHeight="15840" xr2:uid="{5195D560-93BF-406E-937C-ABBE0F29BFBB}"/>
  </bookViews>
  <sheets>
    <sheet name="Consolidado" sheetId="1" r:id="rId1"/>
    <sheet name="Autorizados" sheetId="2" r:id="rId2"/>
    <sheet name="Aprovação" sheetId="3" r:id="rId3"/>
    <sheet name="Apoio" sheetId="4" r:id="rId4"/>
  </sheets>
  <definedNames>
    <definedName name="_xlnm._FilterDatabase" localSheetId="2" hidden="1">Aprovação!$A$6:$F$31</definedName>
    <definedName name="_xlnm._FilterDatabase" localSheetId="1" hidden="1">Autorizados!$A$6:$G$6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9" i="1" l="1"/>
  <c r="R10" i="1"/>
  <c r="R11" i="1"/>
  <c r="R2" i="1"/>
  <c r="R7" i="1"/>
  <c r="AF7" i="1" l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13" i="1"/>
  <c r="AD34" i="1" l="1"/>
  <c r="AD33" i="1"/>
  <c r="AD28" i="1"/>
  <c r="AD29" i="1"/>
  <c r="AD23" i="1"/>
  <c r="AD14" i="1"/>
  <c r="AD16" i="1"/>
  <c r="AD18" i="1"/>
  <c r="AD20" i="1"/>
  <c r="AD37" i="1"/>
  <c r="AD32" i="1"/>
  <c r="AD31" i="1"/>
  <c r="AD26" i="1"/>
  <c r="AD19" i="1"/>
  <c r="Z15" i="1" l="1"/>
  <c r="AD15" i="1"/>
  <c r="AF5" i="1" l="1"/>
  <c r="AF8" i="1" s="1"/>
  <c r="Y29" i="1"/>
  <c r="Z29" i="1"/>
  <c r="Z8" i="1"/>
  <c r="Z9" i="1"/>
  <c r="Z10" i="1"/>
  <c r="Z11" i="1"/>
  <c r="Z12" i="1"/>
  <c r="Z13" i="1"/>
  <c r="Z14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30" i="1"/>
  <c r="Z31" i="1"/>
  <c r="Z32" i="1"/>
  <c r="Z33" i="1"/>
  <c r="Z34" i="1"/>
  <c r="Z35" i="1"/>
  <c r="Z36" i="1"/>
  <c r="Z37" i="1"/>
  <c r="Z7" i="1"/>
  <c r="Y7" i="1"/>
  <c r="Y8" i="1"/>
  <c r="Y10" i="1"/>
  <c r="Y11" i="1"/>
  <c r="Y12" i="1"/>
  <c r="Y13" i="1"/>
  <c r="Y9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30" i="1"/>
  <c r="Y31" i="1"/>
  <c r="Y32" i="1"/>
  <c r="Y33" i="1"/>
  <c r="Y34" i="1"/>
  <c r="Y35" i="1"/>
  <c r="Y36" i="1"/>
  <c r="Y37" i="1"/>
  <c r="AF63" i="1" l="1"/>
  <c r="AF54" i="1"/>
  <c r="AF39" i="1"/>
  <c r="AF23" i="1"/>
  <c r="AF71" i="1"/>
  <c r="AF62" i="1"/>
  <c r="AF51" i="1"/>
  <c r="AF38" i="1"/>
  <c r="AF22" i="1"/>
  <c r="AF70" i="1"/>
  <c r="AF59" i="1"/>
  <c r="AF47" i="1"/>
  <c r="AF31" i="1"/>
  <c r="AF15" i="1"/>
  <c r="AF67" i="1"/>
  <c r="AF55" i="1"/>
  <c r="AF46" i="1"/>
  <c r="AF30" i="1"/>
  <c r="AF14" i="1"/>
  <c r="AD35" i="1"/>
  <c r="AD36" i="1"/>
  <c r="AD17" i="1"/>
  <c r="AF43" i="1"/>
  <c r="AF35" i="1"/>
  <c r="AF27" i="1"/>
  <c r="AF19" i="1"/>
  <c r="AF11" i="1"/>
  <c r="AD30" i="1"/>
  <c r="AD24" i="1"/>
  <c r="AD21" i="1"/>
  <c r="AD27" i="1"/>
  <c r="AD13" i="1"/>
  <c r="AD22" i="1"/>
  <c r="AF66" i="1"/>
  <c r="AF58" i="1"/>
  <c r="AF50" i="1"/>
  <c r="AF42" i="1"/>
  <c r="AF34" i="1"/>
  <c r="AF26" i="1"/>
  <c r="AF18" i="1"/>
  <c r="AF10" i="1"/>
  <c r="AF69" i="1"/>
  <c r="AF65" i="1"/>
  <c r="AF61" i="1"/>
  <c r="AF57" i="1"/>
  <c r="AF53" i="1"/>
  <c r="AF49" i="1"/>
  <c r="AF45" i="1"/>
  <c r="AF41" i="1"/>
  <c r="AF37" i="1"/>
  <c r="AF33" i="1"/>
  <c r="AF29" i="1"/>
  <c r="AF25" i="1"/>
  <c r="AF21" i="1"/>
  <c r="AF17" i="1"/>
  <c r="AF13" i="1"/>
  <c r="AF9" i="1"/>
  <c r="AF68" i="1"/>
  <c r="AF64" i="1"/>
  <c r="AF60" i="1"/>
  <c r="AF56" i="1"/>
  <c r="AF52" i="1"/>
  <c r="AF48" i="1"/>
  <c r="AF44" i="1"/>
  <c r="AF40" i="1"/>
  <c r="AF36" i="1"/>
  <c r="AF32" i="1"/>
  <c r="AF28" i="1"/>
  <c r="AF24" i="1"/>
  <c r="AF20" i="1"/>
  <c r="AF16" i="1"/>
  <c r="AF12" i="1"/>
</calcChain>
</file>

<file path=xl/sharedStrings.xml><?xml version="1.0" encoding="utf-8"?>
<sst xmlns="http://schemas.openxmlformats.org/spreadsheetml/2006/main" count="929" uniqueCount="256">
  <si>
    <t>PREÇO DO CBIO (R$/CBIO)</t>
  </si>
  <si>
    <t>FATOR DE EMISSÃO (Tco2</t>
  </si>
  <si>
    <t>AUTORIZAÇÃO ANP</t>
  </si>
  <si>
    <t>LOCALIZAÇÃO</t>
  </si>
  <si>
    <t>RENOVABIO</t>
  </si>
  <si>
    <t>REIDI</t>
  </si>
  <si>
    <t>BNDES</t>
  </si>
  <si>
    <t>EMPRESA</t>
  </si>
  <si>
    <t>CNPJ</t>
  </si>
  <si>
    <t>MUNICÍPIO</t>
  </si>
  <si>
    <t>UF</t>
  </si>
  <si>
    <t>MATÉRIA-PRIMA</t>
  </si>
  <si>
    <t>CAPACIDADE  (Nm³/d)</t>
  </si>
  <si>
    <t>Nº DA AUTORIZAÇÃO - AO</t>
  </si>
  <si>
    <t>LINK - AO</t>
  </si>
  <si>
    <t>Nº DA AUTORIZAÇÃO - AEA</t>
  </si>
  <si>
    <t>LINK - AEA</t>
  </si>
  <si>
    <t>TIPO DE AUTORIZAÇÃO</t>
  </si>
  <si>
    <t>PREVISÃO DE CONCLUSÃO DE OBRA</t>
  </si>
  <si>
    <t>LATITUDE</t>
  </si>
  <si>
    <t>LONGITUDE</t>
  </si>
  <si>
    <t>INFORMAÇÃO SOBRE LOCALIZAÇÃO</t>
  </si>
  <si>
    <t>MATÉRIA-PRIMA 
(LEVANTAMENTO EPE)</t>
  </si>
  <si>
    <t>RENOVABIO 
(NEEA)</t>
  </si>
  <si>
    <t>RECEITA COM CBIO POR Nm³</t>
  </si>
  <si>
    <t>RENOVABIO 
(VALIDADE)</t>
  </si>
  <si>
    <t>REIDI 
(PORTARIA)</t>
  </si>
  <si>
    <t>REIDI 
(DATA PORTARIA)</t>
  </si>
  <si>
    <t>REIDI (link)</t>
  </si>
  <si>
    <t>REIDI 
(ESTIMATIVA SEM)</t>
  </si>
  <si>
    <t>REIDI 
(ESTIMATIVA COM)</t>
  </si>
  <si>
    <t>REIDI 
(REDUÇÃO %)</t>
  </si>
  <si>
    <t>REIDI 
CUSTO ESPECÍFICO 
(R$ por Nm³/dia)</t>
  </si>
  <si>
    <t>BNDES
(VALOR TOTAL DO PROJETO)</t>
  </si>
  <si>
    <t>BNDES
(VALOR FINANCIADO)</t>
  </si>
  <si>
    <t>PLANILHA DE INVESTIMENTOS (R$)</t>
  </si>
  <si>
    <t>PLANILHA DE INVESTIMENTOS (JUSTIFICATIVA)</t>
  </si>
  <si>
    <t>POTENCIAL DE CO2 NO UPGRADING
(tCO2/ano)</t>
  </si>
  <si>
    <t>PASTA COM NOTÍCIAS</t>
  </si>
  <si>
    <t>CÓDIGO EPE (?)</t>
  </si>
  <si>
    <t>INFORMAÇÕES ADICIONAIS</t>
  </si>
  <si>
    <t>COCAL ENERGIA S.A.</t>
  </si>
  <si>
    <t>14.788.495/0001-70</t>
  </si>
  <si>
    <t>NARANDIBA</t>
  </si>
  <si>
    <t>SP</t>
  </si>
  <si>
    <t>PRODUTOS E RESÍDUOS ORGÂNICOS AGROSSILVOPASTORIS E COMERCIAIS</t>
  </si>
  <si>
    <t>422 de 30/06/2022, DOU de 01/07/2022</t>
  </si>
  <si>
    <t>https://atosoficiais.com.br/anp/autorizacao-n-422-2022?origin=instituicao</t>
  </si>
  <si>
    <t>421 de 30/06/2022, DOU de 01/07/2022</t>
  </si>
  <si>
    <t>https://atosoficiais.com.br/anp/autorizacao-n-421-2022?origin=instituicao</t>
  </si>
  <si>
    <t>Operação</t>
  </si>
  <si>
    <t>N/A</t>
  </si>
  <si>
    <t>SUCRO</t>
  </si>
  <si>
    <t>n/i</t>
  </si>
  <si>
    <t>n/a</t>
  </si>
  <si>
    <t>SIM, 30 MI DO FUNDO CLIMA. https://agenciadenoticias.bndes.gov.br/detalhe/noticia/Com-R$-971-mi-do-BNDES-Cocal-investe-em-geracao-de-energia-a-partir-de-biogas-de-cana/</t>
  </si>
  <si>
    <t>S-001</t>
  </si>
  <si>
    <t>ENGEP AMBIENTAL LTDA.</t>
  </si>
  <si>
    <t>17.354.555/0002-15</t>
  </si>
  <si>
    <t>JAMBEIRO</t>
  </si>
  <si>
    <t>RESÍDUOS SÓLIDOS URBANOS DEPOSITADOS EM ATERRO SANITÁRIO</t>
  </si>
  <si>
    <t>222 de 27/03/2023, DOU de 28/03/2023</t>
  </si>
  <si>
    <t>https://atosoficiais.com.br/anp/autorizacao-n-222-2023?origin=instituicao</t>
  </si>
  <si>
    <t>221 de 27/03/2023, DOU de 28/03/2023</t>
  </si>
  <si>
    <t>https://atosoficiais.com.br/anp/autorizacao-n-221-2023?origin=instituicao</t>
  </si>
  <si>
    <t>RSU</t>
  </si>
  <si>
    <t>Não</t>
  </si>
  <si>
    <t>O-005</t>
  </si>
  <si>
    <t>GÁS VERDE S.A.</t>
  </si>
  <si>
    <t>11.131.464/0005-87</t>
  </si>
  <si>
    <t>SEROPÉDICA</t>
  </si>
  <si>
    <t>RJ</t>
  </si>
  <si>
    <t>490 de 16/07/2020, DOU de 17/07/2020</t>
  </si>
  <si>
    <t>https://atosoficiais.com.br/anp/autorizacao-n-490-2020?origin=instituicao</t>
  </si>
  <si>
    <t>489 de 16/07/2020, DOU de 17/07/2020</t>
  </si>
  <si>
    <t>https://atosoficiais.com.br/anp/autorizacao-n-489-2020-?origin=instituicao</t>
  </si>
  <si>
    <t>PORTARIA Nº 135/SNPGB/MME [AMPLIAÇÃO]</t>
  </si>
  <si>
    <t>https://www.in.gov.br/web/dou/-/portaria-n-135/snpgb/mme-de-1-de-marco-de-2024-548276021</t>
  </si>
  <si>
    <t>O-003</t>
  </si>
  <si>
    <t>GNR DOIS ARCOS VALORIZAÇÃO DE BIOGÁS LTDA.</t>
  </si>
  <si>
    <t>17.173.460/0002-03</t>
  </si>
  <si>
    <t>SÃO PEDRO DA ALDEIA</t>
  </si>
  <si>
    <t>488 de 16/07/2020, DOU de 17/07/2020</t>
  </si>
  <si>
    <t>https://atosoficiais.com.br/anp/autorizacao-n-488-2020?origin=instituicao</t>
  </si>
  <si>
    <t>487 de 16/07/2020, DOU de 17/07/2020</t>
  </si>
  <si>
    <t>https://atosoficiais.com.br/anp/autorizacao-n-487-2020-?origin=instituicao</t>
  </si>
  <si>
    <t>O-002</t>
  </si>
  <si>
    <t>GNR FORTALEZA VALORIZAÇÃO DE BIOGÁS LTDA.</t>
  </si>
  <si>
    <t>20.287.659/0001-88</t>
  </si>
  <si>
    <t>CAUCAIA</t>
  </si>
  <si>
    <t>CE</t>
  </si>
  <si>
    <t>14 de 13/01/2020, DOU de 14/01/2020</t>
  </si>
  <si>
    <t>https://atosoficiais.com.br/anp/autorizacao-n-14-2020?origin=instituicao</t>
  </si>
  <si>
    <t>13 de 13/01/2020, DOU de 14/01/2020</t>
  </si>
  <si>
    <t>https://atosoficiais.com.br/anp/autorizacao-n-13-2020-?origin=instituicao</t>
  </si>
  <si>
    <t>O-001</t>
  </si>
  <si>
    <t>METAGÁS BIOGÁS E ENERGIA S.A.</t>
  </si>
  <si>
    <t>43.943.079/0001-05</t>
  </si>
  <si>
    <t>SÃO PAULO</t>
  </si>
  <si>
    <t>369 de 15/06/2022, DOU de 20/06/2022</t>
  </si>
  <si>
    <t>https://atosoficiais.com.br/anp/autorizacao-n-369-2022?origin=instituicao</t>
  </si>
  <si>
    <t>368 de 15/06/2022, DOU de 20/06/2022</t>
  </si>
  <si>
    <t>https://atosoficiais.com.br/anp/autorizacao-n-368-2022?origin=instituicao</t>
  </si>
  <si>
    <t>O-004</t>
  </si>
  <si>
    <t>ADECOAGRO VALE DO IVINHEMA S.A.</t>
  </si>
  <si>
    <t>07.903.169/0017-68</t>
  </si>
  <si>
    <t>IVINHEMA</t>
  </si>
  <si>
    <t>MS</t>
  </si>
  <si>
    <t>Construção de Nova Instalação</t>
  </si>
  <si>
    <t>Obras concluídas. Processo de autorização em andamento.</t>
  </si>
  <si>
    <t>não</t>
  </si>
  <si>
    <t>Fator de investimento médio da Cocal Paraguaçu e Raízen Costa Pinto</t>
  </si>
  <si>
    <t>AGRIC ADUBOS E GESTÃO DE RESÍDUOS INDUSTRIAIS E COMERCIAIS S.A.</t>
  </si>
  <si>
    <t>28.260.261/0002-40</t>
  </si>
  <si>
    <t>CAMPOS NOVOS</t>
  </si>
  <si>
    <t>SC</t>
  </si>
  <si>
    <t>agosto/2025</t>
  </si>
  <si>
    <t>PORTARIA Nº 136/SNPGB/MME</t>
  </si>
  <si>
    <t>https://www.in.gov.br/web/dou/-/portaria-n-136/snpgb/mme-de-1-de-marco-de-2024-548259395</t>
  </si>
  <si>
    <t>BIOENERGIA SANTA CRUZ LTDA.</t>
  </si>
  <si>
    <t>51.447.607/0001-55</t>
  </si>
  <si>
    <t>AMÉRICO BRASILIENSE</t>
  </si>
  <si>
    <t>dezembro/2024</t>
  </si>
  <si>
    <t>SIM. ADOTOU-SE VALOR PASSADO PELO BNDES À EPE, SEM IDENTIFICAÇÃO PELA EMPRESA - INFERÊNCIA NOSSA. https://www.saomartinho.com.br/show.aspx?idMateria=1MgzGgIR8MuEYU/0obi5RA==&amp;IdCanal=DAeo+zr1tI8g8LkSFHivBg==&amp;linguagem=pt</t>
  </si>
  <si>
    <t>Sem REIDI, optou-se pelo valor total do BNDES.</t>
  </si>
  <si>
    <t>BIOMETANO SUL S.A.</t>
  </si>
  <si>
    <t>47.360.931/0001-64</t>
  </si>
  <si>
    <t>MINAS DO LEÃO</t>
  </si>
  <si>
    <t>RS</t>
  </si>
  <si>
    <t>PORTARIA Nº 85/SNPGB/MME</t>
  </si>
  <si>
    <t>https://www.in.gov.br/web/dou/-/portaria-n-85/snpgb/mme-de-13-de-julho-de-2023-497272065</t>
  </si>
  <si>
    <t>SIM, 56,5 MI DO FUNDO CLIMA. https://www.bndes.gov.br/wps/portal/site/home/imprensa/noticias/conteudo/com-recursos-do-fundo-clima-bndes-financia-usina-de-biometano-em-porto-alegre</t>
  </si>
  <si>
    <t>BIOMETANO VERDE PAULÍNIA S.A.</t>
  </si>
  <si>
    <t>50.365.355/0001-52</t>
  </si>
  <si>
    <t>PAULÍNIA</t>
  </si>
  <si>
    <t>agosto/2026</t>
  </si>
  <si>
    <t>Aterro. Fator de investimento da Orizon Jaboatão</t>
  </si>
  <si>
    <t>COCAL ENERGIA PPT PARTICIPAÇÕES LTDA.</t>
  </si>
  <si>
    <t>44.191.268/0001-23</t>
  </si>
  <si>
    <t>PARAGUAÇU PAULISTA</t>
  </si>
  <si>
    <t>outubro/2024</t>
  </si>
  <si>
    <t>PORTARIA Nº 81/SNPGB/MME</t>
  </si>
  <si>
    <t>https://www.in.gov.br/web/dou/-/portaria-n-81/snpgb/mme-de-14-de-junho-de-2023-490737001</t>
  </si>
  <si>
    <t>SIM, 135 MI DO FUNDO CLIMA. https://www.bndes.gov.br/wps/portal/site/home/imprensa/noticias/conteudo/com-230-milhoes-de-reais-o-bndes-apoia-projetos-de-biometano-no-terceiro-maior-aterro-sanitario-do-mundo-e-no-setor-sucroenergetico#:~:text=Banco%20contratou%20financiamento%20de%20R%24%2093%2C8%20milh%C3%B5es%20para,a%20partir%20de%20subprodutos%20do%20a%C3%A7%C3%BAcar%20e%20%C3%A1lcool</t>
  </si>
  <si>
    <t>CRI GEO BIOGAS S.A.</t>
  </si>
  <si>
    <t>38.615.333/0001-06</t>
  </si>
  <si>
    <t>ELIAS FAUSTO</t>
  </si>
  <si>
    <t>julho/2024</t>
  </si>
  <si>
    <t>PORTARIA Nº 83/SNPGB/MME</t>
  </si>
  <si>
    <t>https://www.in.gov.br/web/dou/-/portaria-n-83/snpgb/mme-de-28-de-junho-de-2023-496672808</t>
  </si>
  <si>
    <t>SIM, PARCELA NÃO ESPECIFICADA DO FUNDO CLIMA. https://www.bndes.gov.br/wps/portal/site/home/imprensa/noticias/conteudo/bndes-apoia-producao-de-biocombustivel-e-energia-eletrica-a-partir-de-residuos-industriais-no-interior-paulista</t>
  </si>
  <si>
    <t>ESSENCIS BIOMETANO S.A</t>
  </si>
  <si>
    <t>48.119.972/0001-26</t>
  </si>
  <si>
    <t>CAIEIRAS</t>
  </si>
  <si>
    <t>PORTARIA Nº 99/SNPGB/MME</t>
  </si>
  <si>
    <t>https://www.in.gov.br/web/dou/-/portaria-n-99/snpgb/mme-de-10-de-outubro-de-2023-517410907</t>
  </si>
  <si>
    <t>53,7 MI DO FUNDO CLIMA. https://www.bndes.gov.br/wps/portal/site/home/imprensa/noticias/conteudo/com-230-milhoes-de-reais-o-bndes-apoia-projetos-de-biometano-no-terceiro-maior-aterro-sanitario-do-mundo-e-no-setor-sucroenergetico#:~:text=Banco%20contratou%20financiamento%20de%20R%24%2093%2C8%20milh%C3%B5es%20para,a%20partir%20de%20subprodutos%20do%20a%C3%A7%C3%BAcar%20e%20%C3%A1lcool</t>
  </si>
  <si>
    <t>FOLHITO LTDA</t>
  </si>
  <si>
    <t>00.234.266/0001-07</t>
  </si>
  <si>
    <t>ESTRELA</t>
  </si>
  <si>
    <t>Fator de investimento da H2A SCP 2.</t>
  </si>
  <si>
    <t>GEO AGROVALE BIOGÁS LTDA.</t>
  </si>
  <si>
    <t>52.688.200/0001-82</t>
  </si>
  <si>
    <t>JUAZEIRO</t>
  </si>
  <si>
    <t>BA</t>
  </si>
  <si>
    <t>GEO ELÉTRICA TAMBOARA BIOENERGIA LTDA.</t>
  </si>
  <si>
    <t>12.415.018/0002-14</t>
  </si>
  <si>
    <t>TAMBOARA</t>
  </si>
  <si>
    <t>PR</t>
  </si>
  <si>
    <t>setembro/2024</t>
  </si>
  <si>
    <t>PORTARIA Nº 127/SNPGB/MME</t>
  </si>
  <si>
    <t>https://www.in.gov.br/web/dou/-/portaria-n-127/snpgb/mme-de-16-de-janeiro-de-2024-538099006</t>
  </si>
  <si>
    <t>H2A SOLUÇÕES AMBIENTAIS LTDA</t>
  </si>
  <si>
    <t>55.190.260/0001-69</t>
  </si>
  <si>
    <t>PAPANDUVA</t>
  </si>
  <si>
    <t>AGROPECUÁRIO (?)</t>
  </si>
  <si>
    <t>Fator de investimento da H2A SCP 2. Só entrou uma de Papanduva no PDE.</t>
  </si>
  <si>
    <t>H2A SOLUÇÕES AMBIENTAIS LTDA. SCP 1</t>
  </si>
  <si>
    <t>55.476.932/0001-05</t>
  </si>
  <si>
    <t>VIDEIRA</t>
  </si>
  <si>
    <t>outubro/2025</t>
  </si>
  <si>
    <t>H2A SOLUÇÕES AMBIENTAIS LTDA SCP 2</t>
  </si>
  <si>
    <t>18.499.976/0001-16</t>
  </si>
  <si>
    <t xml:space="preserve">RIO VERDE DE GOIÁS </t>
  </si>
  <si>
    <t>GO</t>
  </si>
  <si>
    <t>PORTARIA Nº 128/SNPGB/MME</t>
  </si>
  <si>
    <t>https://www.in.gov.br/web/dou/-/portaria-n-128/snpgb/mme-de-16-de-janeiro-de-2024-538089154</t>
  </si>
  <si>
    <t>H2A SOLUÇÕES AMBIENTAIS LTDA SCP 3</t>
  </si>
  <si>
    <t>55.477.280/0001-15</t>
  </si>
  <si>
    <t>novembro/2025</t>
  </si>
  <si>
    <t>ORIZON BIOMETANO JABOATÃO DOS GUARARAPES LIMITADA</t>
  </si>
  <si>
    <t>49.909.303/0001-10</t>
  </si>
  <si>
    <t>JABOATÃO DOS GUARARAPES</t>
  </si>
  <si>
    <t>PE</t>
  </si>
  <si>
    <t>PORTARIA Nº 143/SNPGB/MME</t>
  </si>
  <si>
    <t>https://www.in.gov.br/web/dou/-/portaria-n-143/snpgb/mme-de-3-de-abril-de-2024-552220658</t>
  </si>
  <si>
    <t>RAIZEN-GEO BIOGÁS COSTA PINTO LTDA.</t>
  </si>
  <si>
    <t>45.281.972/0001-30</t>
  </si>
  <si>
    <t>PIRACICABA</t>
  </si>
  <si>
    <t>PORTARIA Nº 65/SPG/MME</t>
  </si>
  <si>
    <t>https://www.in.gov.br/web/dou/-/portaria-n-65/spg/mme-de-6-de-dezembro-de-2022-448589986</t>
  </si>
  <si>
    <t>SCALON &amp; CERCHI LTDA</t>
  </si>
  <si>
    <t>24.333.411/0013-09</t>
  </si>
  <si>
    <t>SACRAMENTO</t>
  </si>
  <si>
    <t>MG</t>
  </si>
  <si>
    <t>janeiro/2025</t>
  </si>
  <si>
    <t>Fator de investimento da H2A SCP 2</t>
  </si>
  <si>
    <t>SCBIO ENERGIAS RENOVÁVEIS SPE LTDA.</t>
  </si>
  <si>
    <t>47.290.256/0002-25</t>
  </si>
  <si>
    <t>Aguardando atualização do cronograma.</t>
  </si>
  <si>
    <t>PORTARIA Nº 130/SNPGB/MME</t>
  </si>
  <si>
    <t>https://www.in.gov.br/web/dou/-/portaria-n-130/snpgb/mme-de-29-de-janeiro-de-2024-540559298</t>
  </si>
  <si>
    <t>SPE CENTRAL DE TRATAMENTO INTEGRADO RESÍDUO ZERO LTDA.</t>
  </si>
  <si>
    <t>35.536.099/0001-25</t>
  </si>
  <si>
    <t>TRIUNFO</t>
  </si>
  <si>
    <t>PORTARIA Nº 80/SNPGB/MME</t>
  </si>
  <si>
    <t>https://www.in.gov.br/web/dou/-/portaria-n-80/snpgb/mme-de-6-de-junho-de-2023-489134165</t>
  </si>
  <si>
    <t>SIM, 79,8 MI DO FUNDO CLIMA. https://www.bndes.gov.br/wps/portal/site/home/imprensa/noticias/conteudo/bndes-financia-usina-gaucha-de-biometano-que-deve-evitar-14-mil-toneladas-de-co2-ao-ano-na-atmosfera#:~:text=Produzido%20com%20res%C3%ADduos%20industriais%2C%20g%C3%A1s%20natural%20renov%C3%A1vel%20ser%C3%A1,biometano%20em%20Triunfo%2C%20no%20Rio%20Grande%20do%20Sul.</t>
  </si>
  <si>
    <t>TROPICAL BIOGÁS LTDA.</t>
  </si>
  <si>
    <t>48.990.728/0001-34</t>
  </si>
  <si>
    <t>EDÉIA</t>
  </si>
  <si>
    <t>março/2026</t>
  </si>
  <si>
    <t>PORTARIA Nº 129/SNPGB/MME</t>
  </si>
  <si>
    <t>https://www.in.gov.br/web/dou/-/portaria-n-129/snpgb/mme-de-29-de-janeiro-de-2024-540570044</t>
  </si>
  <si>
    <t>UISA GEO BIOGÁS S.A</t>
  </si>
  <si>
    <t>35.841.348/0001-96</t>
  </si>
  <si>
    <t>NOVA OLÍMPIA</t>
  </si>
  <si>
    <t>MT</t>
  </si>
  <si>
    <t>janeiro/2026</t>
  </si>
  <si>
    <t>PORTARIA Nº 98/SNPGB/MME</t>
  </si>
  <si>
    <t>https://www.in.gov.br/web/dou/-/portaria-n-98/snpgb/mme-de-6-de-outubro-de-2023-515467974</t>
  </si>
  <si>
    <t>SIM, 80 MI DO FUNDO CLIMA. https://www.bndes.gov.br/wps/portal/site/home/imprensa/noticias/conteudo/bndes-aprova-rs-80-milhoes-via-fundo-clima-para-construcao-de-unidade-produtora-de-biogas-e-energia-eletrica-em-mato-grosso</t>
  </si>
  <si>
    <t>UVB MARCA LTDA.</t>
  </si>
  <si>
    <t>53.421.968/0001-58</t>
  </si>
  <si>
    <t>CARIACICA</t>
  </si>
  <si>
    <t>ES</t>
  </si>
  <si>
    <t>julho/2025</t>
  </si>
  <si>
    <t>VALORGAS CURITIBA SPE LTDA.</t>
  </si>
  <si>
    <t>30.168.227/0001-01</t>
  </si>
  <si>
    <t>FAZENDA RIO GRANDE</t>
  </si>
  <si>
    <t>agosto/2024</t>
  </si>
  <si>
    <t>ZEG BIOGÁS AROEIRA SPE LTDA.</t>
  </si>
  <si>
    <t>46.569.957/0001-54</t>
  </si>
  <si>
    <t>TUPACIGUARA</t>
  </si>
  <si>
    <t>PORTARIA Nº 122/SNPGB/MME</t>
  </si>
  <si>
    <t>https://www.in.gov.br/web/dou/-/portaria-n-122/snpgb/mme-de-9-de-janeiro-de-2024-537006679</t>
  </si>
  <si>
    <t xml:space="preserve">                        Agência Nacional do Petróleo, Gás Natural e Biocombustíveis</t>
  </si>
  <si>
    <t>Atualizado em 06/06/2024</t>
  </si>
  <si>
    <t>Atualizado em 19/07/2024</t>
  </si>
  <si>
    <t>CAPACIDADE DE PRODUÇÃO (Nm³/dia)</t>
  </si>
  <si>
    <t>Lista matérias-primas</t>
  </si>
  <si>
    <t>AGROPECUÁRIO</t>
  </si>
  <si>
    <t>ORGÂNICOS</t>
  </si>
  <si>
    <t>SUCRO (?)</t>
  </si>
  <si>
    <t>RSU (?)</t>
  </si>
  <si>
    <t>ORGÂNICOS (?)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</si>
</sst>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%"/>
    <numFmt numFmtId="165" formatCode="[$-416]d\-mmm\-yy;@"/>
    <numFmt numFmtId="166" formatCode="_-&quot;R$&quot;\ * #,##0.000_-;\-&quot;R$&quot;\ * #,##0.000_-;_-&quot;R$&quot;\ * &quot;-&quot;??_-;_-@_-"/>
  </numFmts>
  <fonts count="1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name val="MS Sans Serif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B1EDA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12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left" vertical="center" wrapText="1"/>
    </xf>
    <xf numFmtId="0" fontId="5" fillId="3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 vertical="center" wrapText="1"/>
    </xf>
    <xf numFmtId="43" fontId="5" fillId="3" borderId="0" xfId="1" applyFont="1" applyFill="1" applyAlignment="1">
      <alignment horizontal="center" vertical="center" wrapText="1"/>
    </xf>
    <xf numFmtId="0" fontId="6" fillId="0" borderId="0" xfId="0" applyFont="1" applyAlignment="1">
      <alignment horizontal="left"/>
    </xf>
    <xf numFmtId="0" fontId="7" fillId="3" borderId="0" xfId="0" applyFont="1" applyFill="1" applyAlignment="1">
      <alignment vertical="center"/>
    </xf>
    <xf numFmtId="0" fontId="2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8" fillId="3" borderId="0" xfId="0" applyFont="1" applyFill="1" applyAlignment="1">
      <alignment vertical="center" wrapText="1"/>
    </xf>
    <xf numFmtId="0" fontId="9" fillId="4" borderId="4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3" fontId="10" fillId="3" borderId="2" xfId="0" applyNumberFormat="1" applyFont="1" applyFill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/>
    </xf>
    <xf numFmtId="0" fontId="11" fillId="3" borderId="2" xfId="2" applyFont="1" applyFill="1" applyBorder="1" applyAlignment="1">
      <alignment horizontal="center" vertical="center"/>
    </xf>
    <xf numFmtId="0" fontId="11" fillId="3" borderId="5" xfId="2" applyFont="1" applyFill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/>
    </xf>
    <xf numFmtId="0" fontId="9" fillId="3" borderId="4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3" fontId="9" fillId="4" borderId="2" xfId="0" applyNumberFormat="1" applyFont="1" applyFill="1" applyBorder="1" applyAlignment="1">
      <alignment horizontal="center" vertical="center"/>
    </xf>
    <xf numFmtId="3" fontId="9" fillId="3" borderId="2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3" fontId="10" fillId="0" borderId="0" xfId="0" applyNumberFormat="1" applyFont="1" applyAlignment="1">
      <alignment horizontal="center" vertical="center" wrapText="1"/>
    </xf>
    <xf numFmtId="0" fontId="11" fillId="0" borderId="0" xfId="2" applyFont="1" applyFill="1" applyBorder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10" fillId="3" borderId="4" xfId="3" applyFont="1" applyFill="1" applyBorder="1" applyAlignment="1">
      <alignment vertical="center"/>
    </xf>
    <xf numFmtId="0" fontId="10" fillId="3" borderId="1" xfId="3" applyFont="1" applyFill="1" applyBorder="1" applyAlignment="1">
      <alignment horizontal="center" vertical="center"/>
    </xf>
    <xf numFmtId="3" fontId="10" fillId="3" borderId="1" xfId="0" applyNumberFormat="1" applyFont="1" applyFill="1" applyBorder="1" applyAlignment="1">
      <alignment horizontal="center" vertical="center" wrapText="1"/>
    </xf>
    <xf numFmtId="49" fontId="10" fillId="3" borderId="9" xfId="3" applyNumberFormat="1" applyFont="1" applyFill="1" applyBorder="1" applyAlignment="1">
      <alignment horizontal="center" vertical="center"/>
    </xf>
    <xf numFmtId="0" fontId="10" fillId="3" borderId="4" xfId="3" applyFont="1" applyFill="1" applyBorder="1" applyAlignment="1">
      <alignment vertical="center" wrapText="1"/>
    </xf>
    <xf numFmtId="49" fontId="9" fillId="3" borderId="2" xfId="0" applyNumberFormat="1" applyFont="1" applyFill="1" applyBorder="1" applyAlignment="1">
      <alignment horizontal="center" vertical="center"/>
    </xf>
    <xf numFmtId="49" fontId="9" fillId="3" borderId="9" xfId="0" applyNumberFormat="1" applyFont="1" applyFill="1" applyBorder="1" applyAlignment="1">
      <alignment horizontal="center" vertical="center"/>
    </xf>
    <xf numFmtId="0" fontId="10" fillId="0" borderId="4" xfId="3" applyFont="1" applyBorder="1" applyAlignment="1">
      <alignment vertical="center"/>
    </xf>
    <xf numFmtId="0" fontId="10" fillId="0" borderId="1" xfId="3" applyFont="1" applyBorder="1" applyAlignment="1">
      <alignment horizontal="center" vertical="center"/>
    </xf>
    <xf numFmtId="3" fontId="10" fillId="0" borderId="1" xfId="0" applyNumberFormat="1" applyFont="1" applyBorder="1" applyAlignment="1">
      <alignment horizontal="center" vertical="center" wrapText="1"/>
    </xf>
    <xf numFmtId="49" fontId="10" fillId="0" borderId="2" xfId="3" applyNumberFormat="1" applyFont="1" applyBorder="1" applyAlignment="1">
      <alignment horizontal="center" vertical="center"/>
    </xf>
    <xf numFmtId="49" fontId="10" fillId="3" borderId="2" xfId="3" applyNumberFormat="1" applyFont="1" applyFill="1" applyBorder="1" applyAlignment="1">
      <alignment horizontal="center" vertical="center"/>
    </xf>
    <xf numFmtId="0" fontId="10" fillId="3" borderId="10" xfId="3" applyFont="1" applyFill="1" applyBorder="1" applyAlignment="1">
      <alignment vertical="center" wrapText="1"/>
    </xf>
    <xf numFmtId="0" fontId="10" fillId="3" borderId="11" xfId="3" applyFont="1" applyFill="1" applyBorder="1" applyAlignment="1">
      <alignment horizontal="center" vertical="center"/>
    </xf>
    <xf numFmtId="3" fontId="10" fillId="3" borderId="11" xfId="0" applyNumberFormat="1" applyFont="1" applyFill="1" applyBorder="1" applyAlignment="1">
      <alignment horizontal="center" vertical="center" wrapText="1"/>
    </xf>
    <xf numFmtId="0" fontId="10" fillId="3" borderId="10" xfId="3" applyFont="1" applyFill="1" applyBorder="1" applyAlignment="1">
      <alignment vertical="center"/>
    </xf>
    <xf numFmtId="0" fontId="10" fillId="0" borderId="0" xfId="3" applyFont="1" applyAlignment="1">
      <alignment vertical="center"/>
    </xf>
    <xf numFmtId="0" fontId="10" fillId="0" borderId="0" xfId="3" applyFont="1" applyAlignment="1">
      <alignment horizontal="center" vertical="center"/>
    </xf>
    <xf numFmtId="49" fontId="10" fillId="0" borderId="0" xfId="3" applyNumberFormat="1" applyFont="1" applyAlignment="1">
      <alignment horizontal="center" vertical="center"/>
    </xf>
    <xf numFmtId="49" fontId="10" fillId="0" borderId="9" xfId="3" applyNumberFormat="1" applyFont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 wrapText="1"/>
    </xf>
    <xf numFmtId="3" fontId="10" fillId="5" borderId="1" xfId="0" applyNumberFormat="1" applyFont="1" applyFill="1" applyBorder="1" applyAlignment="1">
      <alignment horizontal="center" vertical="center" wrapText="1"/>
    </xf>
    <xf numFmtId="0" fontId="11" fillId="5" borderId="1" xfId="2" applyFont="1" applyFill="1" applyBorder="1" applyAlignment="1">
      <alignment horizontal="center" vertical="center" wrapText="1"/>
    </xf>
    <xf numFmtId="0" fontId="10" fillId="5" borderId="1" xfId="3" applyFont="1" applyFill="1" applyBorder="1" applyAlignment="1">
      <alignment horizontal="center" vertical="center" wrapText="1"/>
    </xf>
    <xf numFmtId="49" fontId="10" fillId="5" borderId="1" xfId="3" applyNumberFormat="1" applyFont="1" applyFill="1" applyBorder="1" applyAlignment="1">
      <alignment horizontal="center" vertical="center" wrapText="1"/>
    </xf>
    <xf numFmtId="49" fontId="9" fillId="5" borderId="1" xfId="0" applyNumberFormat="1" applyFont="1" applyFill="1" applyBorder="1" applyAlignment="1">
      <alignment horizontal="center" vertical="center" wrapText="1"/>
    </xf>
    <xf numFmtId="0" fontId="11" fillId="0" borderId="1" xfId="2" applyFont="1" applyFill="1" applyBorder="1" applyAlignment="1">
      <alignment horizontal="center" vertical="center" wrapText="1"/>
    </xf>
    <xf numFmtId="44" fontId="9" fillId="5" borderId="1" xfId="4" applyFont="1" applyFill="1" applyBorder="1" applyAlignment="1">
      <alignment horizontal="center" vertical="center" wrapText="1"/>
    </xf>
    <xf numFmtId="44" fontId="9" fillId="0" borderId="1" xfId="4" applyFont="1" applyFill="1" applyBorder="1" applyAlignment="1">
      <alignment horizontal="center" vertical="center" wrapText="1"/>
    </xf>
    <xf numFmtId="164" fontId="9" fillId="5" borderId="1" xfId="5" applyNumberFormat="1" applyFont="1" applyFill="1" applyBorder="1" applyAlignment="1">
      <alignment horizontal="center" vertical="center" wrapText="1"/>
    </xf>
    <xf numFmtId="164" fontId="9" fillId="0" borderId="1" xfId="5" applyNumberFormat="1" applyFont="1" applyFill="1" applyBorder="1" applyAlignment="1">
      <alignment horizontal="center" vertical="center" wrapText="1"/>
    </xf>
    <xf numFmtId="164" fontId="9" fillId="0" borderId="0" xfId="5" applyNumberFormat="1" applyFont="1" applyFill="1" applyAlignment="1">
      <alignment horizontal="center" vertical="center" wrapText="1"/>
    </xf>
    <xf numFmtId="164" fontId="9" fillId="0" borderId="0" xfId="5" applyNumberFormat="1" applyFont="1" applyAlignment="1">
      <alignment horizontal="center" vertical="center" wrapText="1"/>
    </xf>
    <xf numFmtId="44" fontId="9" fillId="5" borderId="1" xfId="0" applyNumberFormat="1" applyFont="1" applyFill="1" applyBorder="1" applyAlignment="1">
      <alignment horizontal="center" vertical="center" wrapText="1"/>
    </xf>
    <xf numFmtId="165" fontId="9" fillId="5" borderId="1" xfId="0" applyNumberFormat="1" applyFont="1" applyFill="1" applyBorder="1" applyAlignment="1">
      <alignment horizontal="center" vertical="center" wrapText="1"/>
    </xf>
    <xf numFmtId="165" fontId="9" fillId="0" borderId="0" xfId="0" applyNumberFormat="1" applyFont="1" applyAlignment="1">
      <alignment horizontal="center" vertical="center" wrapText="1"/>
    </xf>
    <xf numFmtId="44" fontId="9" fillId="5" borderId="4" xfId="4" applyFont="1" applyFill="1" applyBorder="1" applyAlignment="1">
      <alignment horizontal="center" vertical="center" wrapText="1"/>
    </xf>
    <xf numFmtId="43" fontId="9" fillId="5" borderId="1" xfId="1" applyFont="1" applyFill="1" applyBorder="1" applyAlignment="1">
      <alignment horizontal="center" vertical="center" wrapText="1"/>
    </xf>
    <xf numFmtId="3" fontId="9" fillId="0" borderId="0" xfId="0" applyNumberFormat="1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5" fontId="9" fillId="0" borderId="1" xfId="0" applyNumberFormat="1" applyFont="1" applyBorder="1" applyAlignment="1">
      <alignment horizontal="center" vertical="center" wrapText="1"/>
    </xf>
    <xf numFmtId="44" fontId="9" fillId="0" borderId="1" xfId="0" applyNumberFormat="1" applyFont="1" applyBorder="1" applyAlignment="1">
      <alignment horizontal="center" vertical="center" wrapText="1"/>
    </xf>
    <xf numFmtId="43" fontId="9" fillId="0" borderId="1" xfId="1" applyFont="1" applyFill="1" applyBorder="1" applyAlignment="1">
      <alignment horizontal="center" vertical="center" wrapText="1"/>
    </xf>
    <xf numFmtId="3" fontId="9" fillId="0" borderId="1" xfId="0" applyNumberFormat="1" applyFont="1" applyBorder="1" applyAlignment="1">
      <alignment horizontal="center" vertical="center" wrapText="1"/>
    </xf>
    <xf numFmtId="0" fontId="10" fillId="0" borderId="1" xfId="3" applyFont="1" applyBorder="1" applyAlignment="1">
      <alignment horizontal="center" vertical="center" wrapText="1"/>
    </xf>
    <xf numFmtId="49" fontId="10" fillId="0" borderId="1" xfId="3" applyNumberFormat="1" applyFont="1" applyBorder="1" applyAlignment="1">
      <alignment horizontal="center" vertical="center" wrapText="1"/>
    </xf>
    <xf numFmtId="44" fontId="9" fillId="0" borderId="4" xfId="4" applyFont="1" applyFill="1" applyBorder="1" applyAlignment="1">
      <alignment horizontal="center" vertical="center" wrapText="1"/>
    </xf>
    <xf numFmtId="49" fontId="9" fillId="0" borderId="1" xfId="0" applyNumberFormat="1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165" fontId="10" fillId="0" borderId="1" xfId="0" applyNumberFormat="1" applyFont="1" applyBorder="1" applyAlignment="1">
      <alignment horizontal="center" vertical="center" wrapText="1"/>
    </xf>
    <xf numFmtId="0" fontId="4" fillId="5" borderId="1" xfId="2" applyFill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14" fillId="0" borderId="0" xfId="0" applyFont="1" applyAlignment="1">
      <alignment horizontal="center" vertical="center" wrapText="1"/>
    </xf>
    <xf numFmtId="3" fontId="14" fillId="0" borderId="0" xfId="0" applyNumberFormat="1" applyFont="1" applyAlignment="1">
      <alignment horizontal="center" vertical="center" wrapText="1"/>
    </xf>
    <xf numFmtId="2" fontId="9" fillId="5" borderId="1" xfId="0" applyNumberFormat="1" applyFont="1" applyFill="1" applyBorder="1" applyAlignment="1">
      <alignment horizontal="center" vertical="center" wrapText="1"/>
    </xf>
    <xf numFmtId="2" fontId="9" fillId="0" borderId="1" xfId="0" applyNumberFormat="1" applyFont="1" applyBorder="1" applyAlignment="1">
      <alignment horizontal="center" vertical="center" wrapText="1"/>
    </xf>
    <xf numFmtId="2" fontId="10" fillId="5" borderId="1" xfId="3" applyNumberFormat="1" applyFont="1" applyFill="1" applyBorder="1" applyAlignment="1">
      <alignment horizontal="center" vertical="center" wrapText="1"/>
    </xf>
    <xf numFmtId="2" fontId="10" fillId="0" borderId="1" xfId="3" applyNumberFormat="1" applyFont="1" applyBorder="1" applyAlignment="1">
      <alignment horizontal="center" vertical="center" wrapText="1"/>
    </xf>
    <xf numFmtId="2" fontId="10" fillId="5" borderId="2" xfId="3" applyNumberFormat="1" applyFont="1" applyFill="1" applyBorder="1" applyAlignment="1">
      <alignment horizontal="center" vertical="center" wrapText="1"/>
    </xf>
    <xf numFmtId="166" fontId="9" fillId="5" borderId="1" xfId="4" applyNumberFormat="1" applyFont="1" applyFill="1" applyBorder="1" applyAlignment="1">
      <alignment horizontal="center" vertical="center" wrapText="1"/>
    </xf>
    <xf numFmtId="166" fontId="9" fillId="0" borderId="1" xfId="4" applyNumberFormat="1" applyFont="1" applyBorder="1" applyAlignment="1">
      <alignment horizontal="center" vertical="center" wrapText="1"/>
    </xf>
    <xf numFmtId="14" fontId="9" fillId="0" borderId="1" xfId="0" applyNumberFormat="1" applyFont="1" applyBorder="1" applyAlignment="1">
      <alignment horizontal="center" vertical="center" wrapText="1"/>
    </xf>
    <xf numFmtId="14" fontId="9" fillId="5" borderId="1" xfId="0" applyNumberFormat="1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</cellXfs>
  <cellStyles count="6">
    <cellStyle name="Hiperlink" xfId="2" builtinId="8"/>
    <cellStyle name="Moeda" xfId="4" builtinId="4"/>
    <cellStyle name="Normal" xfId="0" builtinId="0"/>
    <cellStyle name="Normal 2" xfId="3" xr:uid="{D59D85AC-7CF0-47F3-897D-48C045C95BD9}"/>
    <cellStyle name="Porcentagem" xfId="5" builtinId="5"/>
    <cellStyle name="Vírgula" xfId="1" builtinId="3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scheme val="minor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scheme val="minor"/>
      </font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fill>
        <patternFill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rgb="FF000000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minor"/>
      </font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theme="4" tint="0.79998168889431442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minor"/>
      </font>
      <fill>
        <patternFill>
          <bgColor theme="0"/>
        </patternFill>
      </fill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minor"/>
      </font>
      <fill>
        <patternFill>
          <bgColor theme="0"/>
        </patternFill>
      </fill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minor"/>
      </font>
      <fill>
        <patternFill>
          <bgColor theme="0"/>
        </patternFill>
      </fill>
    </dxf>
    <dxf>
      <border outline="0">
        <left style="thin">
          <color indexed="64"/>
        </left>
        <right style="thin">
          <color indexed="64"/>
        </right>
      </border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6FD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228600</xdr:colOff>
          <xdr:row>2</xdr:row>
          <xdr:rowOff>76200</xdr:rowOff>
        </xdr:from>
        <xdr:to>
          <xdr:col>15</xdr:col>
          <xdr:colOff>1524000</xdr:colOff>
          <xdr:row>4</xdr:row>
          <xdr:rowOff>95250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 cores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74135</xdr:colOff>
      <xdr:row>0</xdr:row>
      <xdr:rowOff>167121</xdr:rowOff>
    </xdr:from>
    <xdr:to>
      <xdr:col>0</xdr:col>
      <xdr:colOff>619093</xdr:colOff>
      <xdr:row>3</xdr:row>
      <xdr:rowOff>24979</xdr:rowOff>
    </xdr:to>
    <xdr:pic>
      <xdr:nvPicPr>
        <xdr:cNvPr id="2" name="Picture 10776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35" y="167121"/>
          <a:ext cx="544958" cy="79130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74135</xdr:colOff>
      <xdr:row>0</xdr:row>
      <xdr:rowOff>167121</xdr:rowOff>
    </xdr:from>
    <xdr:to>
      <xdr:col>0</xdr:col>
      <xdr:colOff>619093</xdr:colOff>
      <xdr:row>3</xdr:row>
      <xdr:rowOff>24979</xdr:rowOff>
    </xdr:to>
    <xdr:pic>
      <xdr:nvPicPr>
        <xdr:cNvPr id="2" name="Picture 10776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35" y="167121"/>
          <a:ext cx="544958" cy="79130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34DDD2-5B7A-4A09-A3A8-CE1BCC69CF05}" name="Tabela3" displayName="Tabela3" ref="A6:J12" totalsRowShown="0" dataDxfId="23" tableBorderDxfId="22">
  <autoFilter ref="A6:J12" xr:uid="{B75EFC09-F60F-4B9A-BCA5-73234EAEC980}"/>
  <sortState xmlns:xlrd2="http://schemas.microsoft.com/office/spreadsheetml/2017/richdata2" ref="A7:J12">
    <sortCondition ref="A6:A12"/>
  </sortState>
  <tableColumns count="10">
    <tableColumn id="1" xr3:uid="{743C09BB-867C-4264-907D-8B88C587131E}" name="EMPRESA" dataDxfId="21"/>
    <tableColumn id="2" xr3:uid="{26C881EC-F7A2-4AE5-A7C5-E6013994962F}" name="CNPJ" dataDxfId="20"/>
    <tableColumn id="3" xr3:uid="{4CA78EF7-83E8-475C-8030-1C22F9562410}" name="MUNICÍPIO" dataDxfId="19"/>
    <tableColumn id="4" xr3:uid="{6A56005E-16F0-46C4-818A-D620316495F1}" name="UF" dataDxfId="18"/>
    <tableColumn id="10" xr3:uid="{B03AABFE-93DB-4BD7-9A42-915BE8B7DCD9}" name="MATÉRIA-PRIMA" dataDxfId="17"/>
    <tableColumn id="5" xr3:uid="{487F9049-79F9-4C31-A056-C545ACF2774F}" name="CAPACIDADE  (Nm³/d)" dataDxfId="16"/>
    <tableColumn id="6" xr3:uid="{477F3508-A084-426D-9AE5-6C29A0E93F13}" name="Nº DA AUTORIZAÇÃO - AO" dataDxfId="15"/>
    <tableColumn id="7" xr3:uid="{1FB69CEE-E351-4000-AE6C-C1219FC13B09}" name="LINK - AO" dataDxfId="14"/>
    <tableColumn id="8" xr3:uid="{0D46A21D-CFDA-415E-B5AB-A919F5BB3920}" name="Nº DA AUTORIZAÇÃO - AEA" dataDxfId="13"/>
    <tableColumn id="9" xr3:uid="{35B1297F-298A-4FBC-AF52-7BB3396F8CDD}" name="LINK - AEA" dataDxfId="12" dataCellStyle="Hiperlink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D4A9A3-CE6A-45A6-8ED1-C81493EE2E6C}" name="Tabela1" displayName="Tabela1" ref="A6:G31" totalsRowShown="0" headerRowDxfId="11" dataDxfId="9" headerRowBorderDxfId="10" tableBorderDxfId="8" totalsRowBorderDxfId="7" dataCellStyle="Normal 2">
  <autoFilter ref="A6:G31" xr:uid="{00000000-000C-0000-FFFF-FFFF02000000}"/>
  <sortState xmlns:xlrd2="http://schemas.microsoft.com/office/spreadsheetml/2017/richdata2" ref="A7:G31">
    <sortCondition ref="A6:A31"/>
  </sortState>
  <tableColumns count="7">
    <tableColumn id="1" xr3:uid="{39D061FC-4308-48E2-BDF4-3D4320A15BE1}" name="EMPRESA" dataDxfId="6" dataCellStyle="Normal 2"/>
    <tableColumn id="2" xr3:uid="{8081ADDD-9EB6-4664-9609-8E5760786D14}" name="CNPJ" dataDxfId="5" dataCellStyle="Normal 2"/>
    <tableColumn id="3" xr3:uid="{0D158D37-D032-4998-9C8B-10F3E5E48ADD}" name="MUNICÍPIO" dataDxfId="4" dataCellStyle="Normal 2"/>
    <tableColumn id="4" xr3:uid="{47CBE80B-107A-4565-8E81-9E0F4163AA5B}" name="UF" dataDxfId="3" dataCellStyle="Normal 2"/>
    <tableColumn id="5" xr3:uid="{A3A94A9E-DF3D-4593-97BE-72EA573F769C}" name="CAPACIDADE DE PRODUÇÃO (Nm³/dia)" dataDxfId="2"/>
    <tableColumn id="6" xr3:uid="{36DEAFA8-6C3B-4004-8F14-61A6EF308A7D}" name="TIPO DE AUTORIZAÇÃO" dataDxfId="1" dataCellStyle="Normal 2"/>
    <tableColumn id="7" xr3:uid="{5AA3A4DF-428A-4054-BCD6-CE939E906932}" name="PREVISÃO DE CONCLUSÃO DE OBRA" dataDxfId="0" dataCellStyle="Normal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atosoficiais.com.br/anp/autorizacao-n-421-2022?origin=instituicao" TargetMode="External"/><Relationship Id="rId13" Type="http://schemas.openxmlformats.org/officeDocument/2006/relationships/hyperlink" Target="https://www.in.gov.br/web/dou/-/portaria-n-122/snpgb/mme-de-9-de-janeiro-de-2024-537006679" TargetMode="External"/><Relationship Id="rId3" Type="http://schemas.openxmlformats.org/officeDocument/2006/relationships/hyperlink" Target="https://atosoficiais.com.br/anp/autorizacao-n-488-2020?origin=instituicao" TargetMode="External"/><Relationship Id="rId7" Type="http://schemas.openxmlformats.org/officeDocument/2006/relationships/hyperlink" Target="https://atosoficiais.com.br/anp/autorizacao-n-368-2022?origin=instituicao" TargetMode="External"/><Relationship Id="rId12" Type="http://schemas.openxmlformats.org/officeDocument/2006/relationships/hyperlink" Target="https://atosoficiais.com.br/anp/autorizacao-n-369-2022?origin=instituicao" TargetMode="External"/><Relationship Id="rId17" Type="http://schemas.openxmlformats.org/officeDocument/2006/relationships/ctrlProp" Target="../ctrlProps/ctrlProp1.xml"/><Relationship Id="rId2" Type="http://schemas.openxmlformats.org/officeDocument/2006/relationships/hyperlink" Target="https://atosoficiais.com.br/anp/autorizacao-n-490-2020?origin=instituicao" TargetMode="External"/><Relationship Id="rId16" Type="http://schemas.openxmlformats.org/officeDocument/2006/relationships/vmlDrawing" Target="../drawings/vmlDrawing1.vml"/><Relationship Id="rId1" Type="http://schemas.openxmlformats.org/officeDocument/2006/relationships/hyperlink" Target="https://atosoficiais.com.br/anp/autorizacao-n-14-2020?origin=instituicao" TargetMode="External"/><Relationship Id="rId6" Type="http://schemas.openxmlformats.org/officeDocument/2006/relationships/hyperlink" Target="https://atosoficiais.com.br/anp/autorizacao-n-13-2020-?origin=instituicao" TargetMode="External"/><Relationship Id="rId11" Type="http://schemas.openxmlformats.org/officeDocument/2006/relationships/hyperlink" Target="https://atosoficiais.com.br/anp/autorizacao-n-221-2023?origin=instituicao" TargetMode="External"/><Relationship Id="rId5" Type="http://schemas.openxmlformats.org/officeDocument/2006/relationships/hyperlink" Target="https://atosoficiais.com.br/anp/autorizacao-n-489-2020-?origin=instituicao" TargetMode="External"/><Relationship Id="rId15" Type="http://schemas.openxmlformats.org/officeDocument/2006/relationships/drawing" Target="../drawings/drawing1.xml"/><Relationship Id="rId10" Type="http://schemas.openxmlformats.org/officeDocument/2006/relationships/hyperlink" Target="https://atosoficiais.com.br/anp/autorizacao-n-222-2023?origin=instituicao" TargetMode="External"/><Relationship Id="rId4" Type="http://schemas.openxmlformats.org/officeDocument/2006/relationships/hyperlink" Target="https://atosoficiais.com.br/anp/autorizacao-n-487-2020-?origin=instituicao" TargetMode="External"/><Relationship Id="rId9" Type="http://schemas.openxmlformats.org/officeDocument/2006/relationships/hyperlink" Target="https://atosoficiais.com.br/anp/autorizacao-n-422-2022?origin=instituicao" TargetMode="External"/><Relationship Id="rId1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atosoficiais.com.br/anp/autorizacao-n-421-2022?origin=instituicao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https://atosoficiais.com.br/anp/autorizacao-n-488-2020?origin=instituicao" TargetMode="External"/><Relationship Id="rId7" Type="http://schemas.openxmlformats.org/officeDocument/2006/relationships/hyperlink" Target="https://atosoficiais.com.br/anp/autorizacao-n-368-2022?origin=instituicao" TargetMode="External"/><Relationship Id="rId12" Type="http://schemas.openxmlformats.org/officeDocument/2006/relationships/hyperlink" Target="https://atosoficiais.com.br/anp/autorizacao-n-369-2022?origin=instituicao" TargetMode="External"/><Relationship Id="rId2" Type="http://schemas.openxmlformats.org/officeDocument/2006/relationships/hyperlink" Target="https://atosoficiais.com.br/anp/autorizacao-n-490-2020?origin=instituicao" TargetMode="External"/><Relationship Id="rId1" Type="http://schemas.openxmlformats.org/officeDocument/2006/relationships/hyperlink" Target="https://atosoficiais.com.br/anp/autorizacao-n-14-2020?origin=instituicao" TargetMode="External"/><Relationship Id="rId6" Type="http://schemas.openxmlformats.org/officeDocument/2006/relationships/hyperlink" Target="https://atosoficiais.com.br/anp/autorizacao-n-13-2020-?origin=instituicao" TargetMode="External"/><Relationship Id="rId11" Type="http://schemas.openxmlformats.org/officeDocument/2006/relationships/hyperlink" Target="https://atosoficiais.com.br/anp/autorizacao-n-221-2023?origin=instituicao" TargetMode="External"/><Relationship Id="rId5" Type="http://schemas.openxmlformats.org/officeDocument/2006/relationships/hyperlink" Target="https://atosoficiais.com.br/anp/autorizacao-n-489-2020-?origin=instituicao" TargetMode="External"/><Relationship Id="rId15" Type="http://schemas.openxmlformats.org/officeDocument/2006/relationships/table" Target="../tables/table1.xml"/><Relationship Id="rId10" Type="http://schemas.openxmlformats.org/officeDocument/2006/relationships/hyperlink" Target="https://atosoficiais.com.br/anp/autorizacao-n-222-2023?origin=instituicao" TargetMode="External"/><Relationship Id="rId4" Type="http://schemas.openxmlformats.org/officeDocument/2006/relationships/hyperlink" Target="https://atosoficiais.com.br/anp/autorizacao-n-487-2020-?origin=instituicao" TargetMode="External"/><Relationship Id="rId9" Type="http://schemas.openxmlformats.org/officeDocument/2006/relationships/hyperlink" Target="https://atosoficiais.com.br/anp/autorizacao-n-422-2022?origin=instituicao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89902-65AF-4EE0-B7EC-4376E68E0E34}">
  <sheetPr codeName="Planilha1"/>
  <dimension ref="A1:AI1000"/>
  <sheetViews>
    <sheetView tabSelected="1" zoomScale="55" zoomScaleNormal="55" workbookViewId="0">
      <pane xSplit="1" topLeftCell="B1" activePane="topRight" state="frozen"/>
      <selection pane="topRight" activeCell="M1" sqref="M1"/>
    </sheetView>
  </sheetViews>
  <sheetFormatPr defaultColWidth="8.75" defaultRowHeight="12.75"/>
  <cols>
    <col min="1" max="1" width="37" style="27" customWidth="1"/>
    <col min="2" max="2" width="18.375" style="27" customWidth="1"/>
    <col min="3" max="3" width="20.75" style="27" customWidth="1"/>
    <col min="4" max="4" width="10.625" style="27" customWidth="1"/>
    <col min="5" max="5" width="24.75" style="27" customWidth="1"/>
    <col min="6" max="6" width="18.875" style="27" customWidth="1"/>
    <col min="7" max="7" width="19" style="27" customWidth="1"/>
    <col min="8" max="8" width="15.625" style="27" customWidth="1"/>
    <col min="9" max="9" width="20.375" style="27" customWidth="1"/>
    <col min="10" max="10" width="16.875" style="27" customWidth="1"/>
    <col min="11" max="11" width="19.625" style="27" customWidth="1"/>
    <col min="12" max="12" width="32.625" style="27" customWidth="1"/>
    <col min="13" max="13" width="18.625" style="27" customWidth="1"/>
    <col min="14" max="14" width="18.875" style="27" customWidth="1"/>
    <col min="15" max="15" width="21.125" style="27" customWidth="1"/>
    <col min="16" max="16" width="25.625" style="27" customWidth="1"/>
    <col min="17" max="17" width="27.125" style="27" customWidth="1"/>
    <col min="18" max="18" width="23.625" style="27" customWidth="1"/>
    <col min="19" max="19" width="25.625" style="27" customWidth="1"/>
    <col min="20" max="20" width="21.25" style="27" customWidth="1"/>
    <col min="21" max="21" width="19.125" style="72" customWidth="1"/>
    <col min="22" max="22" width="17.125" style="27" customWidth="1"/>
    <col min="23" max="23" width="17.875" style="27" customWidth="1"/>
    <col min="24" max="24" width="18.875" style="27" customWidth="1"/>
    <col min="25" max="25" width="20.75" style="69" customWidth="1"/>
    <col min="26" max="26" width="18.625" style="27" customWidth="1"/>
    <col min="27" max="27" width="26.625" style="27" customWidth="1"/>
    <col min="28" max="28" width="21.125" style="27" customWidth="1"/>
    <col min="29" max="29" width="21.875" style="27" customWidth="1"/>
    <col min="30" max="30" width="20.125" style="27" customWidth="1"/>
    <col min="31" max="31" width="24.375" style="27" customWidth="1"/>
    <col min="32" max="32" width="22" style="27" customWidth="1"/>
    <col min="33" max="33" width="20.375" style="27" customWidth="1"/>
    <col min="34" max="34" width="20.125" style="27" customWidth="1"/>
    <col min="35" max="35" width="19.375" style="27" customWidth="1"/>
    <col min="36" max="16384" width="8.75" style="27"/>
  </cols>
  <sheetData>
    <row r="1" spans="1:35">
      <c r="F1" s="28"/>
      <c r="H1" s="29"/>
      <c r="J1" s="29"/>
      <c r="R1" s="27" t="s">
        <v>0</v>
      </c>
      <c r="U1" s="27"/>
      <c r="Y1" s="27"/>
    </row>
    <row r="2" spans="1:35">
      <c r="F2" s="28"/>
      <c r="H2" s="29"/>
      <c r="J2" s="29"/>
      <c r="R2" s="27">
        <f>100</f>
        <v>100</v>
      </c>
      <c r="U2" s="27"/>
      <c r="Y2" s="27"/>
    </row>
    <row r="3" spans="1:35">
      <c r="F3" s="75"/>
      <c r="H3" s="29"/>
      <c r="J3" s="29"/>
      <c r="T3" s="91"/>
      <c r="U3" s="91"/>
      <c r="V3" s="91"/>
      <c r="W3" s="91"/>
      <c r="X3" s="91"/>
      <c r="Y3" s="91"/>
      <c r="Z3" s="91"/>
    </row>
    <row r="4" spans="1:35">
      <c r="F4" s="28"/>
      <c r="H4" s="29"/>
      <c r="J4" s="29"/>
      <c r="U4" s="27"/>
      <c r="Y4" s="27"/>
      <c r="AF4" s="27" t="s">
        <v>1</v>
      </c>
    </row>
    <row r="5" spans="1:35" s="92" customFormat="1" ht="15.75">
      <c r="F5" s="93"/>
      <c r="G5" s="103" t="s">
        <v>2</v>
      </c>
      <c r="H5" s="103"/>
      <c r="I5" s="103"/>
      <c r="J5" s="103"/>
      <c r="K5" s="103"/>
      <c r="L5" s="103"/>
      <c r="M5" s="103" t="s">
        <v>3</v>
      </c>
      <c r="N5" s="103"/>
      <c r="O5" s="103"/>
      <c r="Q5" s="103" t="s">
        <v>4</v>
      </c>
      <c r="R5" s="103"/>
      <c r="S5" s="103"/>
      <c r="T5" s="103" t="s">
        <v>5</v>
      </c>
      <c r="U5" s="103"/>
      <c r="V5" s="103"/>
      <c r="W5" s="103"/>
      <c r="X5" s="103"/>
      <c r="Y5" s="103"/>
      <c r="Z5" s="103"/>
      <c r="AA5" s="103" t="s">
        <v>6</v>
      </c>
      <c r="AB5" s="103"/>
      <c r="AC5" s="103"/>
      <c r="AF5" s="92">
        <f>1.15</f>
        <v>1.1499999999999999</v>
      </c>
    </row>
    <row r="6" spans="1:35" ht="49.5" customHeight="1">
      <c r="A6" s="76" t="s">
        <v>7</v>
      </c>
      <c r="B6" s="76" t="s">
        <v>8</v>
      </c>
      <c r="C6" s="76" t="s">
        <v>9</v>
      </c>
      <c r="D6" s="76" t="s">
        <v>10</v>
      </c>
      <c r="E6" s="76" t="s">
        <v>11</v>
      </c>
      <c r="F6" s="76" t="s">
        <v>12</v>
      </c>
      <c r="G6" s="76" t="s">
        <v>13</v>
      </c>
      <c r="H6" s="76" t="s">
        <v>14</v>
      </c>
      <c r="I6" s="76" t="s">
        <v>15</v>
      </c>
      <c r="J6" s="77" t="s">
        <v>16</v>
      </c>
      <c r="K6" s="77" t="s">
        <v>17</v>
      </c>
      <c r="L6" s="76" t="s">
        <v>18</v>
      </c>
      <c r="M6" s="76" t="s">
        <v>19</v>
      </c>
      <c r="N6" s="76" t="s">
        <v>20</v>
      </c>
      <c r="O6" s="76" t="s">
        <v>21</v>
      </c>
      <c r="P6" s="76" t="s">
        <v>22</v>
      </c>
      <c r="Q6" s="76" t="s">
        <v>23</v>
      </c>
      <c r="R6" s="76" t="s">
        <v>24</v>
      </c>
      <c r="S6" s="76" t="s">
        <v>25</v>
      </c>
      <c r="T6" s="76" t="s">
        <v>26</v>
      </c>
      <c r="U6" s="76" t="s">
        <v>27</v>
      </c>
      <c r="V6" s="76" t="s">
        <v>28</v>
      </c>
      <c r="W6" s="76" t="s">
        <v>29</v>
      </c>
      <c r="X6" s="76" t="s">
        <v>30</v>
      </c>
      <c r="Y6" s="76" t="s">
        <v>31</v>
      </c>
      <c r="Z6" s="76" t="s">
        <v>32</v>
      </c>
      <c r="AA6" s="76" t="s">
        <v>6</v>
      </c>
      <c r="AB6" s="76" t="s">
        <v>33</v>
      </c>
      <c r="AC6" s="76" t="s">
        <v>34</v>
      </c>
      <c r="AD6" s="76" t="s">
        <v>35</v>
      </c>
      <c r="AE6" s="76" t="s">
        <v>36</v>
      </c>
      <c r="AF6" s="76" t="s">
        <v>37</v>
      </c>
      <c r="AG6" s="76" t="s">
        <v>38</v>
      </c>
      <c r="AH6" s="76" t="s">
        <v>39</v>
      </c>
      <c r="AI6" s="76" t="s">
        <v>40</v>
      </c>
    </row>
    <row r="7" spans="1:35" ht="30.95" customHeight="1">
      <c r="A7" s="57" t="s">
        <v>41</v>
      </c>
      <c r="B7" s="57" t="s">
        <v>42</v>
      </c>
      <c r="C7" s="57" t="s">
        <v>43</v>
      </c>
      <c r="D7" s="57" t="s">
        <v>44</v>
      </c>
      <c r="E7" s="57" t="s">
        <v>45</v>
      </c>
      <c r="F7" s="58">
        <v>27112.799999999999</v>
      </c>
      <c r="G7" s="57" t="s">
        <v>46</v>
      </c>
      <c r="H7" s="59" t="s">
        <v>47</v>
      </c>
      <c r="I7" s="57" t="s">
        <v>48</v>
      </c>
      <c r="J7" s="59" t="s">
        <v>49</v>
      </c>
      <c r="K7" s="57" t="s">
        <v>50</v>
      </c>
      <c r="L7" s="57" t="s">
        <v>51</v>
      </c>
      <c r="M7" s="94">
        <v>-22.53</v>
      </c>
      <c r="N7" s="94">
        <v>-51.506999999999998</v>
      </c>
      <c r="O7" s="57"/>
      <c r="P7" s="57" t="s">
        <v>52</v>
      </c>
      <c r="Q7" s="57">
        <v>75.66</v>
      </c>
      <c r="R7" s="99">
        <f>Q7*0.03667/10^3*$R$2</f>
        <v>0.27744521999999999</v>
      </c>
      <c r="S7" s="102">
        <v>46540</v>
      </c>
      <c r="T7" s="57" t="s">
        <v>53</v>
      </c>
      <c r="U7" s="71" t="s">
        <v>54</v>
      </c>
      <c r="V7" s="71" t="s">
        <v>54</v>
      </c>
      <c r="W7" s="71" t="s">
        <v>54</v>
      </c>
      <c r="X7" s="71" t="s">
        <v>54</v>
      </c>
      <c r="Y7" s="66" t="e">
        <f>(W7-X7)/W7</f>
        <v>#VALUE!</v>
      </c>
      <c r="Z7" s="70" t="e">
        <f>X7/F7</f>
        <v>#VALUE!</v>
      </c>
      <c r="AA7" s="57" t="s">
        <v>55</v>
      </c>
      <c r="AB7" s="73">
        <v>139700000</v>
      </c>
      <c r="AC7" s="64">
        <v>97120000</v>
      </c>
      <c r="AD7" s="57" t="s">
        <v>54</v>
      </c>
      <c r="AE7" s="57" t="s">
        <v>54</v>
      </c>
      <c r="AF7" s="74">
        <f>F7*365*$AF$5/1000</f>
        <v>11380.5978</v>
      </c>
      <c r="AG7" s="57"/>
      <c r="AH7" s="57" t="s">
        <v>56</v>
      </c>
      <c r="AI7" s="57"/>
    </row>
    <row r="8" spans="1:35" ht="30.95" customHeight="1">
      <c r="A8" s="78" t="s">
        <v>57</v>
      </c>
      <c r="B8" s="78" t="s">
        <v>58</v>
      </c>
      <c r="C8" s="78" t="s">
        <v>59</v>
      </c>
      <c r="D8" s="78" t="s">
        <v>44</v>
      </c>
      <c r="E8" s="78" t="s">
        <v>60</v>
      </c>
      <c r="F8" s="46">
        <v>30000</v>
      </c>
      <c r="G8" s="78" t="s">
        <v>61</v>
      </c>
      <c r="H8" s="63" t="s">
        <v>62</v>
      </c>
      <c r="I8" s="78" t="s">
        <v>63</v>
      </c>
      <c r="J8" s="63" t="s">
        <v>64</v>
      </c>
      <c r="K8" s="78" t="s">
        <v>50</v>
      </c>
      <c r="L8" s="78" t="s">
        <v>51</v>
      </c>
      <c r="M8" s="95">
        <v>-23.277000000000001</v>
      </c>
      <c r="N8" s="95">
        <v>-45.747999999999998</v>
      </c>
      <c r="O8" s="78"/>
      <c r="P8" s="78" t="s">
        <v>65</v>
      </c>
      <c r="Q8" s="78" t="s">
        <v>66</v>
      </c>
      <c r="R8" s="100" t="s">
        <v>54</v>
      </c>
      <c r="S8" s="100" t="s">
        <v>54</v>
      </c>
      <c r="T8" s="78" t="s">
        <v>53</v>
      </c>
      <c r="U8" s="79" t="s">
        <v>54</v>
      </c>
      <c r="V8" s="79" t="s">
        <v>54</v>
      </c>
      <c r="W8" s="79" t="s">
        <v>54</v>
      </c>
      <c r="X8" s="79" t="s">
        <v>54</v>
      </c>
      <c r="Y8" s="67" t="e">
        <f t="shared" ref="Y8:Y37" si="0">(W8-X8)/W8</f>
        <v>#VALUE!</v>
      </c>
      <c r="Z8" s="80" t="e">
        <f t="shared" ref="Z8:Z37" si="1">X8/F8</f>
        <v>#VALUE!</v>
      </c>
      <c r="AA8" s="78" t="s">
        <v>53</v>
      </c>
      <c r="AB8" s="78" t="s">
        <v>53</v>
      </c>
      <c r="AC8" s="78" t="s">
        <v>53</v>
      </c>
      <c r="AD8" s="78" t="s">
        <v>54</v>
      </c>
      <c r="AE8" s="78" t="s">
        <v>54</v>
      </c>
      <c r="AF8" s="81">
        <f t="shared" ref="AF8:AF71" si="2">F8*365*$AF$5/1000</f>
        <v>12592.499999999998</v>
      </c>
      <c r="AG8" s="78"/>
      <c r="AH8" s="78" t="s">
        <v>67</v>
      </c>
      <c r="AI8" s="78"/>
    </row>
    <row r="9" spans="1:35" ht="30.95" customHeight="1">
      <c r="A9" s="78" t="s">
        <v>68</v>
      </c>
      <c r="B9" s="78" t="s">
        <v>69</v>
      </c>
      <c r="C9" s="78" t="s">
        <v>70</v>
      </c>
      <c r="D9" s="78" t="s">
        <v>71</v>
      </c>
      <c r="E9" s="78" t="s">
        <v>60</v>
      </c>
      <c r="F9" s="82">
        <v>204000</v>
      </c>
      <c r="G9" s="78" t="s">
        <v>72</v>
      </c>
      <c r="H9" s="63" t="s">
        <v>73</v>
      </c>
      <c r="I9" s="78" t="s">
        <v>74</v>
      </c>
      <c r="J9" s="63" t="s">
        <v>75</v>
      </c>
      <c r="K9" s="78" t="s">
        <v>50</v>
      </c>
      <c r="L9" s="78" t="s">
        <v>51</v>
      </c>
      <c r="M9" s="95">
        <v>-22.786999999999999</v>
      </c>
      <c r="N9" s="95">
        <v>-43.756999999999998</v>
      </c>
      <c r="O9" s="78"/>
      <c r="P9" s="78" t="s">
        <v>65</v>
      </c>
      <c r="Q9" s="78">
        <v>76.73</v>
      </c>
      <c r="R9" s="100">
        <f t="shared" ref="R9:R11" si="3">Q9*0.03667/10^3*$R$2</f>
        <v>0.28136891000000003</v>
      </c>
      <c r="S9" s="101">
        <v>46522</v>
      </c>
      <c r="T9" s="78" t="s">
        <v>76</v>
      </c>
      <c r="U9" s="79">
        <v>45352</v>
      </c>
      <c r="V9" s="78" t="s">
        <v>77</v>
      </c>
      <c r="W9" s="65">
        <v>55122180</v>
      </c>
      <c r="X9" s="65">
        <v>49405641</v>
      </c>
      <c r="Y9" s="67">
        <f t="shared" si="0"/>
        <v>0.10370669302266347</v>
      </c>
      <c r="Z9" s="80">
        <f t="shared" si="1"/>
        <v>242.18451470588235</v>
      </c>
      <c r="AA9" s="78" t="s">
        <v>53</v>
      </c>
      <c r="AB9" s="78" t="s">
        <v>53</v>
      </c>
      <c r="AC9" s="78" t="s">
        <v>53</v>
      </c>
      <c r="AD9" s="78" t="s">
        <v>54</v>
      </c>
      <c r="AE9" s="78" t="s">
        <v>54</v>
      </c>
      <c r="AF9" s="81">
        <f t="shared" si="2"/>
        <v>85629</v>
      </c>
      <c r="AG9" s="78"/>
      <c r="AH9" s="78" t="s">
        <v>78</v>
      </c>
      <c r="AI9" s="78"/>
    </row>
    <row r="10" spans="1:35" ht="30.95" customHeight="1">
      <c r="A10" s="78" t="s">
        <v>79</v>
      </c>
      <c r="B10" s="78" t="s">
        <v>80</v>
      </c>
      <c r="C10" s="78" t="s">
        <v>81</v>
      </c>
      <c r="D10" s="78" t="s">
        <v>71</v>
      </c>
      <c r="E10" s="78" t="s">
        <v>60</v>
      </c>
      <c r="F10" s="46">
        <v>16000</v>
      </c>
      <c r="G10" s="78" t="s">
        <v>82</v>
      </c>
      <c r="H10" s="63" t="s">
        <v>83</v>
      </c>
      <c r="I10" s="78" t="s">
        <v>84</v>
      </c>
      <c r="J10" s="63" t="s">
        <v>85</v>
      </c>
      <c r="K10" s="78" t="s">
        <v>50</v>
      </c>
      <c r="L10" s="78" t="s">
        <v>51</v>
      </c>
      <c r="M10" s="95">
        <v>-22.826000000000001</v>
      </c>
      <c r="N10" s="95">
        <v>-42.052999999999997</v>
      </c>
      <c r="O10" s="78"/>
      <c r="P10" s="78" t="s">
        <v>65</v>
      </c>
      <c r="Q10" s="78">
        <v>78.97</v>
      </c>
      <c r="R10" s="100">
        <f t="shared" si="3"/>
        <v>0.28958298999999998</v>
      </c>
      <c r="S10" s="101">
        <v>45529</v>
      </c>
      <c r="T10" s="78" t="s">
        <v>53</v>
      </c>
      <c r="U10" s="79" t="s">
        <v>54</v>
      </c>
      <c r="V10" s="79" t="s">
        <v>54</v>
      </c>
      <c r="W10" s="79" t="s">
        <v>54</v>
      </c>
      <c r="X10" s="79" t="s">
        <v>54</v>
      </c>
      <c r="Y10" s="67" t="e">
        <f t="shared" si="0"/>
        <v>#VALUE!</v>
      </c>
      <c r="Z10" s="80" t="e">
        <f t="shared" si="1"/>
        <v>#VALUE!</v>
      </c>
      <c r="AA10" s="78" t="s">
        <v>53</v>
      </c>
      <c r="AB10" s="78" t="s">
        <v>53</v>
      </c>
      <c r="AC10" s="78" t="s">
        <v>53</v>
      </c>
      <c r="AD10" s="78" t="s">
        <v>54</v>
      </c>
      <c r="AE10" s="78" t="s">
        <v>54</v>
      </c>
      <c r="AF10" s="81">
        <f t="shared" si="2"/>
        <v>6715.9999999999991</v>
      </c>
      <c r="AG10" s="78"/>
      <c r="AH10" s="78" t="s">
        <v>86</v>
      </c>
      <c r="AI10" s="78"/>
    </row>
    <row r="11" spans="1:35" ht="30.95" customHeight="1">
      <c r="A11" s="78" t="s">
        <v>87</v>
      </c>
      <c r="B11" s="78" t="s">
        <v>88</v>
      </c>
      <c r="C11" s="78" t="s">
        <v>89</v>
      </c>
      <c r="D11" s="78" t="s">
        <v>90</v>
      </c>
      <c r="E11" s="78" t="s">
        <v>60</v>
      </c>
      <c r="F11" s="82">
        <v>110000</v>
      </c>
      <c r="G11" s="78" t="s">
        <v>91</v>
      </c>
      <c r="H11" s="63" t="s">
        <v>92</v>
      </c>
      <c r="I11" s="78" t="s">
        <v>93</v>
      </c>
      <c r="J11" s="63" t="s">
        <v>94</v>
      </c>
      <c r="K11" s="78" t="s">
        <v>50</v>
      </c>
      <c r="L11" s="78" t="s">
        <v>51</v>
      </c>
      <c r="M11" s="95">
        <v>-3.7949999999999999</v>
      </c>
      <c r="N11" s="95">
        <v>-38.679000000000002</v>
      </c>
      <c r="O11" s="78"/>
      <c r="P11" s="78" t="s">
        <v>65</v>
      </c>
      <c r="Q11" s="78">
        <v>80.77</v>
      </c>
      <c r="R11" s="100">
        <f t="shared" si="3"/>
        <v>0.29618359</v>
      </c>
      <c r="S11" s="101">
        <v>46124</v>
      </c>
      <c r="T11" s="78" t="s">
        <v>53</v>
      </c>
      <c r="U11" s="79" t="s">
        <v>54</v>
      </c>
      <c r="V11" s="79" t="s">
        <v>54</v>
      </c>
      <c r="W11" s="79" t="s">
        <v>54</v>
      </c>
      <c r="X11" s="79" t="s">
        <v>54</v>
      </c>
      <c r="Y11" s="67" t="e">
        <f t="shared" si="0"/>
        <v>#VALUE!</v>
      </c>
      <c r="Z11" s="80" t="e">
        <f t="shared" si="1"/>
        <v>#VALUE!</v>
      </c>
      <c r="AA11" s="78" t="s">
        <v>53</v>
      </c>
      <c r="AB11" s="78" t="s">
        <v>53</v>
      </c>
      <c r="AC11" s="78" t="s">
        <v>53</v>
      </c>
      <c r="AD11" s="78" t="s">
        <v>54</v>
      </c>
      <c r="AE11" s="78" t="s">
        <v>54</v>
      </c>
      <c r="AF11" s="81">
        <f t="shared" si="2"/>
        <v>46172.5</v>
      </c>
      <c r="AG11" s="78"/>
      <c r="AH11" s="78" t="s">
        <v>95</v>
      </c>
      <c r="AI11" s="78"/>
    </row>
    <row r="12" spans="1:35" ht="30.95" customHeight="1">
      <c r="A12" s="78" t="s">
        <v>96</v>
      </c>
      <c r="B12" s="78" t="s">
        <v>97</v>
      </c>
      <c r="C12" s="78" t="s">
        <v>98</v>
      </c>
      <c r="D12" s="78" t="s">
        <v>44</v>
      </c>
      <c r="E12" s="78" t="s">
        <v>60</v>
      </c>
      <c r="F12" s="46">
        <v>30000</v>
      </c>
      <c r="G12" s="78" t="s">
        <v>99</v>
      </c>
      <c r="H12" s="63" t="s">
        <v>100</v>
      </c>
      <c r="I12" s="78" t="s">
        <v>101</v>
      </c>
      <c r="J12" s="63" t="s">
        <v>102</v>
      </c>
      <c r="K12" s="78" t="s">
        <v>50</v>
      </c>
      <c r="L12" s="78" t="s">
        <v>51</v>
      </c>
      <c r="M12" s="95">
        <v>-23.620999999999999</v>
      </c>
      <c r="N12" s="95">
        <v>-46.423000000000002</v>
      </c>
      <c r="O12" s="78"/>
      <c r="P12" s="78" t="s">
        <v>65</v>
      </c>
      <c r="Q12" s="78" t="s">
        <v>66</v>
      </c>
      <c r="R12" s="100" t="s">
        <v>54</v>
      </c>
      <c r="S12" s="100" t="s">
        <v>54</v>
      </c>
      <c r="T12" s="78" t="s">
        <v>53</v>
      </c>
      <c r="U12" s="79" t="s">
        <v>54</v>
      </c>
      <c r="V12" s="79" t="s">
        <v>54</v>
      </c>
      <c r="W12" s="79" t="s">
        <v>54</v>
      </c>
      <c r="X12" s="79" t="s">
        <v>54</v>
      </c>
      <c r="Y12" s="67" t="e">
        <f t="shared" si="0"/>
        <v>#VALUE!</v>
      </c>
      <c r="Z12" s="80" t="e">
        <f t="shared" si="1"/>
        <v>#VALUE!</v>
      </c>
      <c r="AA12" s="78" t="s">
        <v>53</v>
      </c>
      <c r="AB12" s="78" t="s">
        <v>53</v>
      </c>
      <c r="AC12" s="78" t="s">
        <v>53</v>
      </c>
      <c r="AD12" s="78" t="s">
        <v>54</v>
      </c>
      <c r="AE12" s="78" t="s">
        <v>54</v>
      </c>
      <c r="AF12" s="81">
        <f t="shared" si="2"/>
        <v>12592.499999999998</v>
      </c>
      <c r="AG12" s="78"/>
      <c r="AH12" s="78" t="s">
        <v>103</v>
      </c>
      <c r="AI12" s="78"/>
    </row>
    <row r="13" spans="1:35" ht="30.95" customHeight="1">
      <c r="A13" s="60" t="s">
        <v>104</v>
      </c>
      <c r="B13" s="60" t="s">
        <v>105</v>
      </c>
      <c r="C13" s="60" t="s">
        <v>106</v>
      </c>
      <c r="D13" s="60" t="s">
        <v>107</v>
      </c>
      <c r="E13" s="58" t="s">
        <v>51</v>
      </c>
      <c r="F13" s="58">
        <v>14400</v>
      </c>
      <c r="G13" s="57" t="s">
        <v>51</v>
      </c>
      <c r="H13" s="57" t="s">
        <v>51</v>
      </c>
      <c r="I13" s="57" t="s">
        <v>51</v>
      </c>
      <c r="J13" s="57" t="s">
        <v>51</v>
      </c>
      <c r="K13" s="60" t="s">
        <v>108</v>
      </c>
      <c r="L13" s="61" t="s">
        <v>109</v>
      </c>
      <c r="M13" s="96">
        <v>-22.392628999999999</v>
      </c>
      <c r="N13" s="96">
        <v>-53.885371999999997</v>
      </c>
      <c r="O13" s="61"/>
      <c r="P13" s="57" t="s">
        <v>52</v>
      </c>
      <c r="Q13" s="57" t="str">
        <f>IF(K13="Construção de Nova Instalação","n/a","verificar")</f>
        <v>n/a</v>
      </c>
      <c r="R13" s="57" t="s">
        <v>54</v>
      </c>
      <c r="S13" s="57" t="s">
        <v>54</v>
      </c>
      <c r="T13" s="57" t="s">
        <v>110</v>
      </c>
      <c r="U13" s="71" t="s">
        <v>54</v>
      </c>
      <c r="V13" s="57" t="s">
        <v>54</v>
      </c>
      <c r="W13" s="64" t="s">
        <v>54</v>
      </c>
      <c r="X13" s="64" t="s">
        <v>54</v>
      </c>
      <c r="Y13" s="66" t="e">
        <f t="shared" si="0"/>
        <v>#VALUE!</v>
      </c>
      <c r="Z13" s="70" t="e">
        <f t="shared" si="1"/>
        <v>#VALUE!</v>
      </c>
      <c r="AA13" s="57" t="s">
        <v>53</v>
      </c>
      <c r="AB13" s="57" t="s">
        <v>53</v>
      </c>
      <c r="AC13" s="57" t="s">
        <v>53</v>
      </c>
      <c r="AD13" s="70">
        <f>F13*(Z18+Z29)/2</f>
        <v>36330196.852932252</v>
      </c>
      <c r="AE13" s="57" t="s">
        <v>111</v>
      </c>
      <c r="AF13" s="74">
        <f t="shared" si="2"/>
        <v>6044.3999999999987</v>
      </c>
      <c r="AG13" s="57"/>
      <c r="AH13" s="57"/>
      <c r="AI13" s="57"/>
    </row>
    <row r="14" spans="1:35" ht="30.95" customHeight="1">
      <c r="A14" s="83" t="s">
        <v>112</v>
      </c>
      <c r="B14" s="83" t="s">
        <v>113</v>
      </c>
      <c r="C14" s="83" t="s">
        <v>114</v>
      </c>
      <c r="D14" s="83" t="s">
        <v>115</v>
      </c>
      <c r="E14" s="46" t="s">
        <v>51</v>
      </c>
      <c r="F14" s="46">
        <v>31440</v>
      </c>
      <c r="G14" s="78" t="s">
        <v>51</v>
      </c>
      <c r="H14" s="78" t="s">
        <v>51</v>
      </c>
      <c r="I14" s="78" t="s">
        <v>51</v>
      </c>
      <c r="J14" s="78" t="s">
        <v>51</v>
      </c>
      <c r="K14" s="83" t="s">
        <v>108</v>
      </c>
      <c r="L14" s="84" t="s">
        <v>116</v>
      </c>
      <c r="M14" s="97">
        <v>-27.338968000000001</v>
      </c>
      <c r="N14" s="97">
        <v>-51.34200096</v>
      </c>
      <c r="O14" s="84"/>
      <c r="P14" s="78"/>
      <c r="Q14" s="78" t="str">
        <f t="shared" ref="Q14:Q37" si="4">IF(K14="Construção de Nova Instalação","n/a","verificar")</f>
        <v>n/a</v>
      </c>
      <c r="R14" s="78" t="s">
        <v>54</v>
      </c>
      <c r="S14" s="78" t="s">
        <v>54</v>
      </c>
      <c r="T14" s="78" t="s">
        <v>117</v>
      </c>
      <c r="U14" s="79">
        <v>45352</v>
      </c>
      <c r="V14" s="78" t="s">
        <v>118</v>
      </c>
      <c r="W14" s="65">
        <v>89740462.849999994</v>
      </c>
      <c r="X14" s="65">
        <v>84391392.810000002</v>
      </c>
      <c r="Y14" s="67">
        <f t="shared" si="0"/>
        <v>5.9606000126619492E-2</v>
      </c>
      <c r="Z14" s="80">
        <f t="shared" si="1"/>
        <v>2684.2046059160307</v>
      </c>
      <c r="AA14" s="78" t="s">
        <v>53</v>
      </c>
      <c r="AB14" s="78" t="s">
        <v>53</v>
      </c>
      <c r="AC14" s="78" t="s">
        <v>53</v>
      </c>
      <c r="AD14" s="80">
        <f>X14</f>
        <v>84391392.810000002</v>
      </c>
      <c r="AE14" s="78" t="s">
        <v>5</v>
      </c>
      <c r="AF14" s="81">
        <f t="shared" si="2"/>
        <v>13196.939999999999</v>
      </c>
      <c r="AG14" s="78"/>
      <c r="AH14" s="78"/>
      <c r="AI14" s="78"/>
    </row>
    <row r="15" spans="1:35" ht="30.95" customHeight="1">
      <c r="A15" s="60" t="s">
        <v>119</v>
      </c>
      <c r="B15" s="60" t="s">
        <v>120</v>
      </c>
      <c r="C15" s="60" t="s">
        <v>121</v>
      </c>
      <c r="D15" s="60" t="s">
        <v>44</v>
      </c>
      <c r="E15" s="58" t="s">
        <v>51</v>
      </c>
      <c r="F15" s="58">
        <v>75000</v>
      </c>
      <c r="G15" s="57" t="s">
        <v>51</v>
      </c>
      <c r="H15" s="57" t="s">
        <v>51</v>
      </c>
      <c r="I15" s="57" t="s">
        <v>51</v>
      </c>
      <c r="J15" s="57" t="s">
        <v>51</v>
      </c>
      <c r="K15" s="60" t="s">
        <v>108</v>
      </c>
      <c r="L15" s="62" t="s">
        <v>122</v>
      </c>
      <c r="M15" s="94">
        <v>-21.7545</v>
      </c>
      <c r="N15" s="94">
        <v>-48.079300000000003</v>
      </c>
      <c r="O15" s="62"/>
      <c r="P15" s="57" t="s">
        <v>52</v>
      </c>
      <c r="Q15" s="57" t="str">
        <f t="shared" si="4"/>
        <v>n/a</v>
      </c>
      <c r="R15" s="57" t="s">
        <v>54</v>
      </c>
      <c r="S15" s="57" t="s">
        <v>54</v>
      </c>
      <c r="T15" s="57" t="s">
        <v>110</v>
      </c>
      <c r="U15" s="71" t="s">
        <v>54</v>
      </c>
      <c r="V15" s="71" t="s">
        <v>54</v>
      </c>
      <c r="W15" s="71" t="s">
        <v>54</v>
      </c>
      <c r="X15" s="71" t="s">
        <v>54</v>
      </c>
      <c r="Y15" s="66" t="e">
        <f t="shared" si="0"/>
        <v>#VALUE!</v>
      </c>
      <c r="Z15" s="70" t="e">
        <f>X15/F15</f>
        <v>#VALUE!</v>
      </c>
      <c r="AA15" s="57" t="s">
        <v>123</v>
      </c>
      <c r="AB15" s="73">
        <v>199600000</v>
      </c>
      <c r="AC15" s="64">
        <v>80000000</v>
      </c>
      <c r="AD15" s="70">
        <f>AB15</f>
        <v>199600000</v>
      </c>
      <c r="AE15" s="57" t="s">
        <v>124</v>
      </c>
      <c r="AF15" s="74">
        <f t="shared" si="2"/>
        <v>31481.249999999996</v>
      </c>
      <c r="AG15" s="57"/>
      <c r="AH15" s="57"/>
      <c r="AI15" s="57"/>
    </row>
    <row r="16" spans="1:35" ht="30.95" customHeight="1">
      <c r="A16" s="83" t="s">
        <v>125</v>
      </c>
      <c r="B16" s="83" t="s">
        <v>126</v>
      </c>
      <c r="C16" s="83" t="s">
        <v>127</v>
      </c>
      <c r="D16" s="83" t="s">
        <v>128</v>
      </c>
      <c r="E16" s="46" t="s">
        <v>51</v>
      </c>
      <c r="F16" s="46">
        <v>70000</v>
      </c>
      <c r="G16" s="78" t="s">
        <v>51</v>
      </c>
      <c r="H16" s="78" t="s">
        <v>51</v>
      </c>
      <c r="I16" s="78" t="s">
        <v>51</v>
      </c>
      <c r="J16" s="78" t="s">
        <v>51</v>
      </c>
      <c r="K16" s="83" t="s">
        <v>108</v>
      </c>
      <c r="L16" s="86" t="s">
        <v>122</v>
      </c>
      <c r="M16" s="95">
        <v>-30.151</v>
      </c>
      <c r="N16" s="95">
        <v>-52.026000000000003</v>
      </c>
      <c r="O16" s="86"/>
      <c r="P16" s="78"/>
      <c r="Q16" s="78" t="str">
        <f t="shared" si="4"/>
        <v>n/a</v>
      </c>
      <c r="R16" s="78" t="s">
        <v>54</v>
      </c>
      <c r="S16" s="78" t="s">
        <v>54</v>
      </c>
      <c r="T16" s="78" t="s">
        <v>129</v>
      </c>
      <c r="U16" s="79">
        <v>45120</v>
      </c>
      <c r="V16" s="78" t="s">
        <v>130</v>
      </c>
      <c r="W16" s="65">
        <v>93290772.420000002</v>
      </c>
      <c r="X16" s="65">
        <v>84773547.849999994</v>
      </c>
      <c r="Y16" s="67">
        <f t="shared" si="0"/>
        <v>9.1297610139350241E-2</v>
      </c>
      <c r="Z16" s="80">
        <f t="shared" si="1"/>
        <v>1211.0506835714284</v>
      </c>
      <c r="AA16" s="78" t="s">
        <v>131</v>
      </c>
      <c r="AB16" s="85">
        <v>125300000</v>
      </c>
      <c r="AC16" s="65">
        <v>99800000</v>
      </c>
      <c r="AD16" s="80">
        <f>X16</f>
        <v>84773547.849999994</v>
      </c>
      <c r="AE16" s="78" t="s">
        <v>5</v>
      </c>
      <c r="AF16" s="81">
        <f t="shared" si="2"/>
        <v>29382.499999999996</v>
      </c>
      <c r="AG16" s="78"/>
      <c r="AH16" s="78"/>
      <c r="AI16" s="78"/>
    </row>
    <row r="17" spans="1:35" ht="30.95" customHeight="1">
      <c r="A17" s="83" t="s">
        <v>132</v>
      </c>
      <c r="B17" s="83" t="s">
        <v>133</v>
      </c>
      <c r="C17" s="83" t="s">
        <v>134</v>
      </c>
      <c r="D17" s="83" t="s">
        <v>44</v>
      </c>
      <c r="E17" s="46" t="s">
        <v>51</v>
      </c>
      <c r="F17" s="46">
        <v>225840</v>
      </c>
      <c r="G17" s="78" t="s">
        <v>51</v>
      </c>
      <c r="H17" s="78" t="s">
        <v>51</v>
      </c>
      <c r="I17" s="78" t="s">
        <v>51</v>
      </c>
      <c r="J17" s="78" t="s">
        <v>51</v>
      </c>
      <c r="K17" s="83" t="s">
        <v>108</v>
      </c>
      <c r="L17" s="84" t="s">
        <v>135</v>
      </c>
      <c r="M17" s="97">
        <v>-22.774999999999999</v>
      </c>
      <c r="N17" s="97">
        <v>-47.204000000000001</v>
      </c>
      <c r="O17" s="84"/>
      <c r="P17" s="78" t="s">
        <v>65</v>
      </c>
      <c r="Q17" s="78" t="str">
        <f t="shared" si="4"/>
        <v>n/a</v>
      </c>
      <c r="R17" s="78" t="s">
        <v>54</v>
      </c>
      <c r="S17" s="78" t="s">
        <v>54</v>
      </c>
      <c r="T17" s="78" t="s">
        <v>110</v>
      </c>
      <c r="U17" s="79" t="s">
        <v>54</v>
      </c>
      <c r="V17" s="79" t="s">
        <v>54</v>
      </c>
      <c r="W17" s="79" t="s">
        <v>54</v>
      </c>
      <c r="X17" s="79" t="s">
        <v>54</v>
      </c>
      <c r="Y17" s="67" t="e">
        <f t="shared" si="0"/>
        <v>#VALUE!</v>
      </c>
      <c r="Z17" s="80" t="e">
        <f t="shared" si="1"/>
        <v>#VALUE!</v>
      </c>
      <c r="AA17" s="78" t="s">
        <v>53</v>
      </c>
      <c r="AB17" s="78" t="s">
        <v>53</v>
      </c>
      <c r="AC17" s="78" t="s">
        <v>53</v>
      </c>
      <c r="AD17" s="80">
        <f>Z28*F17</f>
        <v>518473454.28128886</v>
      </c>
      <c r="AE17" s="78" t="s">
        <v>136</v>
      </c>
      <c r="AF17" s="81">
        <f t="shared" si="2"/>
        <v>94796.34</v>
      </c>
      <c r="AG17" s="78"/>
      <c r="AH17" s="78"/>
      <c r="AI17" s="78"/>
    </row>
    <row r="18" spans="1:35" ht="30.95" customHeight="1">
      <c r="A18" s="60" t="s">
        <v>137</v>
      </c>
      <c r="B18" s="60" t="s">
        <v>138</v>
      </c>
      <c r="C18" s="60" t="s">
        <v>139</v>
      </c>
      <c r="D18" s="60" t="s">
        <v>44</v>
      </c>
      <c r="E18" s="58" t="s">
        <v>51</v>
      </c>
      <c r="F18" s="58">
        <v>54000</v>
      </c>
      <c r="G18" s="57" t="s">
        <v>51</v>
      </c>
      <c r="H18" s="57" t="s">
        <v>51</v>
      </c>
      <c r="I18" s="57" t="s">
        <v>51</v>
      </c>
      <c r="J18" s="57" t="s">
        <v>51</v>
      </c>
      <c r="K18" s="60" t="s">
        <v>108</v>
      </c>
      <c r="L18" s="62" t="s">
        <v>140</v>
      </c>
      <c r="M18" s="94">
        <v>-22.473949999999999</v>
      </c>
      <c r="N18" s="94">
        <v>-50.788800000000002</v>
      </c>
      <c r="O18" s="62"/>
      <c r="P18" s="57" t="s">
        <v>52</v>
      </c>
      <c r="Q18" s="57" t="str">
        <f t="shared" si="4"/>
        <v>n/a</v>
      </c>
      <c r="R18" s="57" t="s">
        <v>54</v>
      </c>
      <c r="S18" s="57" t="s">
        <v>54</v>
      </c>
      <c r="T18" s="57" t="s">
        <v>141</v>
      </c>
      <c r="U18" s="71">
        <v>45091</v>
      </c>
      <c r="V18" s="57" t="s">
        <v>142</v>
      </c>
      <c r="W18" s="64">
        <v>180373768</v>
      </c>
      <c r="X18" s="64">
        <v>165919272.78</v>
      </c>
      <c r="Y18" s="66">
        <f t="shared" si="0"/>
        <v>8.0136348983960895E-2</v>
      </c>
      <c r="Z18" s="70">
        <f t="shared" si="1"/>
        <v>3072.5791255555555</v>
      </c>
      <c r="AA18" s="57" t="s">
        <v>143</v>
      </c>
      <c r="AB18" s="73">
        <v>223718000</v>
      </c>
      <c r="AC18" s="64">
        <v>135000000</v>
      </c>
      <c r="AD18" s="70">
        <f>X18</f>
        <v>165919272.78</v>
      </c>
      <c r="AE18" s="57" t="s">
        <v>5</v>
      </c>
      <c r="AF18" s="74">
        <f t="shared" si="2"/>
        <v>22666.5</v>
      </c>
      <c r="AG18" s="57"/>
      <c r="AH18" s="57"/>
      <c r="AI18" s="57"/>
    </row>
    <row r="19" spans="1:35" ht="30.95" customHeight="1">
      <c r="A19" s="83" t="s">
        <v>144</v>
      </c>
      <c r="B19" s="83" t="s">
        <v>145</v>
      </c>
      <c r="C19" s="83" t="s">
        <v>146</v>
      </c>
      <c r="D19" s="83" t="s">
        <v>44</v>
      </c>
      <c r="E19" s="46" t="s">
        <v>51</v>
      </c>
      <c r="F19" s="46">
        <v>19008</v>
      </c>
      <c r="G19" s="78" t="s">
        <v>51</v>
      </c>
      <c r="H19" s="78" t="s">
        <v>51</v>
      </c>
      <c r="I19" s="78" t="s">
        <v>51</v>
      </c>
      <c r="J19" s="78" t="s">
        <v>51</v>
      </c>
      <c r="K19" s="83" t="s">
        <v>108</v>
      </c>
      <c r="L19" s="84" t="s">
        <v>147</v>
      </c>
      <c r="M19" s="97">
        <v>-23.073</v>
      </c>
      <c r="N19" s="97">
        <v>-47.402000000000001</v>
      </c>
      <c r="O19" s="84"/>
      <c r="P19" s="78"/>
      <c r="Q19" s="78" t="str">
        <f t="shared" si="4"/>
        <v>n/a</v>
      </c>
      <c r="R19" s="78" t="s">
        <v>54</v>
      </c>
      <c r="S19" s="78" t="s">
        <v>54</v>
      </c>
      <c r="T19" s="78" t="s">
        <v>148</v>
      </c>
      <c r="U19" s="79">
        <v>45105</v>
      </c>
      <c r="V19" s="78" t="s">
        <v>149</v>
      </c>
      <c r="W19" s="65">
        <v>63224000</v>
      </c>
      <c r="X19" s="65">
        <v>59029737.600000001</v>
      </c>
      <c r="Y19" s="67">
        <f t="shared" si="0"/>
        <v>6.6339719094014912E-2</v>
      </c>
      <c r="Z19" s="80">
        <f t="shared" si="1"/>
        <v>3105.520707070707</v>
      </c>
      <c r="AA19" s="78" t="s">
        <v>150</v>
      </c>
      <c r="AB19" s="85">
        <v>56200000</v>
      </c>
      <c r="AC19" s="65">
        <v>44000000</v>
      </c>
      <c r="AD19" s="80">
        <f>X19</f>
        <v>59029737.600000001</v>
      </c>
      <c r="AE19" s="78" t="s">
        <v>5</v>
      </c>
      <c r="AF19" s="81">
        <f t="shared" si="2"/>
        <v>7978.6079999999993</v>
      </c>
      <c r="AG19" s="78"/>
      <c r="AH19" s="78"/>
      <c r="AI19" s="78"/>
    </row>
    <row r="20" spans="1:35" ht="30.95" customHeight="1">
      <c r="A20" s="83" t="s">
        <v>151</v>
      </c>
      <c r="B20" s="83" t="s">
        <v>152</v>
      </c>
      <c r="C20" s="83" t="s">
        <v>153</v>
      </c>
      <c r="D20" s="83" t="s">
        <v>44</v>
      </c>
      <c r="E20" s="46" t="s">
        <v>51</v>
      </c>
      <c r="F20" s="46">
        <v>73920</v>
      </c>
      <c r="G20" s="78" t="s">
        <v>51</v>
      </c>
      <c r="H20" s="78" t="s">
        <v>51</v>
      </c>
      <c r="I20" s="78" t="s">
        <v>51</v>
      </c>
      <c r="J20" s="78" t="s">
        <v>51</v>
      </c>
      <c r="K20" s="83" t="s">
        <v>108</v>
      </c>
      <c r="L20" s="86" t="s">
        <v>109</v>
      </c>
      <c r="M20" s="95">
        <v>-23.338000000000001</v>
      </c>
      <c r="N20" s="95">
        <v>-46.768000000000001</v>
      </c>
      <c r="O20" s="86"/>
      <c r="P20" s="78" t="s">
        <v>65</v>
      </c>
      <c r="Q20" s="78" t="str">
        <f t="shared" si="4"/>
        <v>n/a</v>
      </c>
      <c r="R20" s="78" t="s">
        <v>54</v>
      </c>
      <c r="S20" s="78" t="s">
        <v>54</v>
      </c>
      <c r="T20" s="78" t="s">
        <v>154</v>
      </c>
      <c r="U20" s="79">
        <v>45209</v>
      </c>
      <c r="V20" s="78" t="s">
        <v>155</v>
      </c>
      <c r="W20" s="65">
        <v>107320995.47</v>
      </c>
      <c r="X20" s="65">
        <v>96895232.510000005</v>
      </c>
      <c r="Y20" s="67">
        <f t="shared" si="0"/>
        <v>9.7145604309217967E-2</v>
      </c>
      <c r="Z20" s="80">
        <f t="shared" si="1"/>
        <v>1310.812128111472</v>
      </c>
      <c r="AA20" s="78" t="s">
        <v>156</v>
      </c>
      <c r="AB20" s="85">
        <v>117000000</v>
      </c>
      <c r="AC20" s="65">
        <v>93800000</v>
      </c>
      <c r="AD20" s="80">
        <f>X20</f>
        <v>96895232.510000005</v>
      </c>
      <c r="AE20" s="78" t="s">
        <v>5</v>
      </c>
      <c r="AF20" s="81">
        <f t="shared" si="2"/>
        <v>31027.919999999995</v>
      </c>
      <c r="AG20" s="78"/>
      <c r="AH20" s="78"/>
      <c r="AI20" s="78"/>
    </row>
    <row r="21" spans="1:35" ht="30.95" customHeight="1">
      <c r="A21" s="83" t="s">
        <v>157</v>
      </c>
      <c r="B21" s="83" t="s">
        <v>158</v>
      </c>
      <c r="C21" s="83" t="s">
        <v>159</v>
      </c>
      <c r="D21" s="83" t="s">
        <v>128</v>
      </c>
      <c r="E21" s="46" t="s">
        <v>51</v>
      </c>
      <c r="F21" s="46">
        <v>10000</v>
      </c>
      <c r="G21" s="78" t="s">
        <v>51</v>
      </c>
      <c r="H21" s="78" t="s">
        <v>51</v>
      </c>
      <c r="I21" s="78" t="s">
        <v>51</v>
      </c>
      <c r="J21" s="78" t="s">
        <v>51</v>
      </c>
      <c r="K21" s="83" t="s">
        <v>108</v>
      </c>
      <c r="L21" s="86" t="s">
        <v>109</v>
      </c>
      <c r="M21" s="95">
        <v>-29.554884000000001</v>
      </c>
      <c r="N21" s="95">
        <v>-51.949147000000004</v>
      </c>
      <c r="O21" s="86"/>
      <c r="P21" s="78"/>
      <c r="Q21" s="78" t="str">
        <f t="shared" si="4"/>
        <v>n/a</v>
      </c>
      <c r="R21" s="78" t="s">
        <v>54</v>
      </c>
      <c r="S21" s="78" t="s">
        <v>54</v>
      </c>
      <c r="T21" s="78" t="s">
        <v>110</v>
      </c>
      <c r="U21" s="79" t="s">
        <v>54</v>
      </c>
      <c r="V21" s="79" t="s">
        <v>54</v>
      </c>
      <c r="W21" s="79" t="s">
        <v>54</v>
      </c>
      <c r="X21" s="79" t="s">
        <v>54</v>
      </c>
      <c r="Y21" s="67" t="e">
        <f t="shared" si="0"/>
        <v>#VALUE!</v>
      </c>
      <c r="Z21" s="80" t="e">
        <f t="shared" si="1"/>
        <v>#VALUE!</v>
      </c>
      <c r="AA21" s="78" t="s">
        <v>53</v>
      </c>
      <c r="AB21" s="78" t="s">
        <v>53</v>
      </c>
      <c r="AC21" s="78" t="s">
        <v>53</v>
      </c>
      <c r="AD21" s="80">
        <f>Z26*F21</f>
        <v>22202595.277777776</v>
      </c>
      <c r="AE21" s="78" t="s">
        <v>160</v>
      </c>
      <c r="AF21" s="81">
        <f t="shared" si="2"/>
        <v>4197.5</v>
      </c>
      <c r="AG21" s="78"/>
      <c r="AH21" s="78"/>
      <c r="AI21" s="78"/>
    </row>
    <row r="22" spans="1:35" ht="30.95" customHeight="1">
      <c r="A22" s="60" t="s">
        <v>161</v>
      </c>
      <c r="B22" s="60" t="s">
        <v>162</v>
      </c>
      <c r="C22" s="60" t="s">
        <v>163</v>
      </c>
      <c r="D22" s="60" t="s">
        <v>164</v>
      </c>
      <c r="E22" s="58" t="s">
        <v>51</v>
      </c>
      <c r="F22" s="58">
        <v>55000</v>
      </c>
      <c r="G22" s="57" t="s">
        <v>51</v>
      </c>
      <c r="H22" s="57" t="s">
        <v>51</v>
      </c>
      <c r="I22" s="57" t="s">
        <v>51</v>
      </c>
      <c r="J22" s="57" t="s">
        <v>51</v>
      </c>
      <c r="K22" s="60" t="s">
        <v>108</v>
      </c>
      <c r="L22" s="61" t="s">
        <v>116</v>
      </c>
      <c r="M22" s="96">
        <v>-9.5003799999999998</v>
      </c>
      <c r="N22" s="96">
        <v>-40.369599999999998</v>
      </c>
      <c r="O22" s="61"/>
      <c r="P22" s="57" t="s">
        <v>52</v>
      </c>
      <c r="Q22" s="57" t="str">
        <f t="shared" si="4"/>
        <v>n/a</v>
      </c>
      <c r="R22" s="57" t="s">
        <v>54</v>
      </c>
      <c r="S22" s="57" t="s">
        <v>54</v>
      </c>
      <c r="T22" s="57" t="s">
        <v>110</v>
      </c>
      <c r="U22" s="71" t="s">
        <v>54</v>
      </c>
      <c r="V22" s="71" t="s">
        <v>54</v>
      </c>
      <c r="W22" s="71" t="s">
        <v>54</v>
      </c>
      <c r="X22" s="71" t="s">
        <v>54</v>
      </c>
      <c r="Y22" s="66" t="e">
        <f t="shared" si="0"/>
        <v>#VALUE!</v>
      </c>
      <c r="Z22" s="70" t="e">
        <f t="shared" si="1"/>
        <v>#VALUE!</v>
      </c>
      <c r="AA22" s="57" t="s">
        <v>53</v>
      </c>
      <c r="AB22" s="57" t="s">
        <v>53</v>
      </c>
      <c r="AC22" s="57" t="s">
        <v>53</v>
      </c>
      <c r="AD22" s="70">
        <f>F22*(Z18+Z29)/2</f>
        <v>138761168.53550515</v>
      </c>
      <c r="AE22" s="57" t="s">
        <v>111</v>
      </c>
      <c r="AF22" s="74">
        <f t="shared" si="2"/>
        <v>23086.25</v>
      </c>
      <c r="AG22" s="57"/>
      <c r="AH22" s="57"/>
      <c r="AI22" s="57"/>
    </row>
    <row r="23" spans="1:35" ht="30.95" customHeight="1">
      <c r="A23" s="60" t="s">
        <v>165</v>
      </c>
      <c r="B23" s="60" t="s">
        <v>166</v>
      </c>
      <c r="C23" s="60" t="s">
        <v>167</v>
      </c>
      <c r="D23" s="60" t="s">
        <v>168</v>
      </c>
      <c r="E23" s="58" t="s">
        <v>51</v>
      </c>
      <c r="F23" s="58">
        <v>31200</v>
      </c>
      <c r="G23" s="57" t="s">
        <v>51</v>
      </c>
      <c r="H23" s="57" t="s">
        <v>51</v>
      </c>
      <c r="I23" s="57" t="s">
        <v>51</v>
      </c>
      <c r="J23" s="57" t="s">
        <v>51</v>
      </c>
      <c r="K23" s="60" t="s">
        <v>108</v>
      </c>
      <c r="L23" s="61" t="s">
        <v>169</v>
      </c>
      <c r="M23" s="96">
        <v>-23.265000000000001</v>
      </c>
      <c r="N23" s="96">
        <v>-52.491999999999997</v>
      </c>
      <c r="O23" s="61"/>
      <c r="P23" s="57" t="s">
        <v>52</v>
      </c>
      <c r="Q23" s="57" t="str">
        <f t="shared" si="4"/>
        <v>n/a</v>
      </c>
      <c r="R23" s="57" t="s">
        <v>54</v>
      </c>
      <c r="S23" s="57" t="s">
        <v>54</v>
      </c>
      <c r="T23" s="57" t="s">
        <v>170</v>
      </c>
      <c r="U23" s="71">
        <v>45307</v>
      </c>
      <c r="V23" s="57" t="s">
        <v>171</v>
      </c>
      <c r="W23" s="64">
        <v>40145592.039999999</v>
      </c>
      <c r="X23" s="64">
        <v>37511205.140000001</v>
      </c>
      <c r="Y23" s="66">
        <f t="shared" si="0"/>
        <v>6.5620825752804077E-2</v>
      </c>
      <c r="Z23" s="70">
        <f t="shared" si="1"/>
        <v>1202.282216025641</v>
      </c>
      <c r="AA23" s="57" t="s">
        <v>53</v>
      </c>
      <c r="AB23" s="57" t="s">
        <v>53</v>
      </c>
      <c r="AC23" s="57" t="s">
        <v>53</v>
      </c>
      <c r="AD23" s="70">
        <f>X23</f>
        <v>37511205.140000001</v>
      </c>
      <c r="AE23" s="57" t="s">
        <v>5</v>
      </c>
      <c r="AF23" s="74">
        <f t="shared" si="2"/>
        <v>13096.199999999999</v>
      </c>
      <c r="AG23" s="57"/>
      <c r="AH23" s="57"/>
      <c r="AI23" s="57"/>
    </row>
    <row r="24" spans="1:35" ht="30.95" customHeight="1">
      <c r="A24" s="83" t="s">
        <v>172</v>
      </c>
      <c r="B24" s="83" t="s">
        <v>173</v>
      </c>
      <c r="C24" s="83" t="s">
        <v>174</v>
      </c>
      <c r="D24" s="83" t="s">
        <v>115</v>
      </c>
      <c r="E24" s="46" t="s">
        <v>51</v>
      </c>
      <c r="F24" s="46">
        <v>6720</v>
      </c>
      <c r="G24" s="78" t="s">
        <v>51</v>
      </c>
      <c r="H24" s="78" t="s">
        <v>51</v>
      </c>
      <c r="I24" s="78" t="s">
        <v>51</v>
      </c>
      <c r="J24" s="78" t="s">
        <v>51</v>
      </c>
      <c r="K24" s="83" t="s">
        <v>108</v>
      </c>
      <c r="L24" s="84" t="s">
        <v>116</v>
      </c>
      <c r="M24" s="97"/>
      <c r="N24" s="97"/>
      <c r="O24" s="84"/>
      <c r="P24" s="78" t="s">
        <v>175</v>
      </c>
      <c r="Q24" s="78" t="str">
        <f t="shared" si="4"/>
        <v>n/a</v>
      </c>
      <c r="R24" s="78" t="s">
        <v>54</v>
      </c>
      <c r="S24" s="78" t="s">
        <v>54</v>
      </c>
      <c r="T24" s="78" t="s">
        <v>110</v>
      </c>
      <c r="U24" s="79" t="s">
        <v>54</v>
      </c>
      <c r="V24" s="79" t="s">
        <v>54</v>
      </c>
      <c r="W24" s="79" t="s">
        <v>54</v>
      </c>
      <c r="X24" s="79" t="s">
        <v>54</v>
      </c>
      <c r="Y24" s="67" t="e">
        <f t="shared" si="0"/>
        <v>#VALUE!</v>
      </c>
      <c r="Z24" s="80" t="e">
        <f t="shared" si="1"/>
        <v>#VALUE!</v>
      </c>
      <c r="AA24" s="78" t="s">
        <v>53</v>
      </c>
      <c r="AB24" s="78" t="s">
        <v>53</v>
      </c>
      <c r="AC24" s="78" t="s">
        <v>53</v>
      </c>
      <c r="AD24" s="80">
        <f>Z26*F24</f>
        <v>14920144.026666667</v>
      </c>
      <c r="AE24" s="78" t="s">
        <v>176</v>
      </c>
      <c r="AF24" s="81">
        <f t="shared" si="2"/>
        <v>2820.72</v>
      </c>
      <c r="AG24" s="78"/>
      <c r="AH24" s="78"/>
      <c r="AI24" s="78"/>
    </row>
    <row r="25" spans="1:35" ht="30.95" customHeight="1">
      <c r="A25" s="83" t="s">
        <v>177</v>
      </c>
      <c r="B25" s="83" t="s">
        <v>178</v>
      </c>
      <c r="C25" s="83" t="s">
        <v>179</v>
      </c>
      <c r="D25" s="83" t="s">
        <v>115</v>
      </c>
      <c r="E25" s="46" t="s">
        <v>51</v>
      </c>
      <c r="F25" s="46">
        <v>6720</v>
      </c>
      <c r="G25" s="78" t="s">
        <v>51</v>
      </c>
      <c r="H25" s="78" t="s">
        <v>51</v>
      </c>
      <c r="I25" s="78" t="s">
        <v>51</v>
      </c>
      <c r="J25" s="78" t="s">
        <v>51</v>
      </c>
      <c r="K25" s="83" t="s">
        <v>108</v>
      </c>
      <c r="L25" s="84" t="s">
        <v>180</v>
      </c>
      <c r="M25" s="97"/>
      <c r="N25" s="97"/>
      <c r="O25" s="84"/>
      <c r="P25" s="78" t="s">
        <v>175</v>
      </c>
      <c r="Q25" s="78" t="str">
        <f t="shared" si="4"/>
        <v>n/a</v>
      </c>
      <c r="R25" s="78" t="s">
        <v>54</v>
      </c>
      <c r="S25" s="78" t="s">
        <v>54</v>
      </c>
      <c r="T25" s="78" t="s">
        <v>110</v>
      </c>
      <c r="U25" s="79" t="s">
        <v>54</v>
      </c>
      <c r="V25" s="79" t="s">
        <v>54</v>
      </c>
      <c r="W25" s="79" t="s">
        <v>54</v>
      </c>
      <c r="X25" s="79" t="s">
        <v>54</v>
      </c>
      <c r="Y25" s="67" t="e">
        <f t="shared" si="0"/>
        <v>#VALUE!</v>
      </c>
      <c r="Z25" s="80" t="e">
        <f t="shared" si="1"/>
        <v>#VALUE!</v>
      </c>
      <c r="AA25" s="78" t="s">
        <v>53</v>
      </c>
      <c r="AB25" s="78" t="s">
        <v>53</v>
      </c>
      <c r="AC25" s="78" t="s">
        <v>53</v>
      </c>
      <c r="AD25" s="78" t="s">
        <v>54</v>
      </c>
      <c r="AE25" s="78" t="s">
        <v>54</v>
      </c>
      <c r="AF25" s="81">
        <f t="shared" si="2"/>
        <v>2820.72</v>
      </c>
      <c r="AG25" s="78"/>
      <c r="AH25" s="78"/>
      <c r="AI25" s="78"/>
    </row>
    <row r="26" spans="1:35" ht="30.95" customHeight="1">
      <c r="A26" s="83" t="s">
        <v>181</v>
      </c>
      <c r="B26" s="83" t="s">
        <v>182</v>
      </c>
      <c r="C26" s="83" t="s">
        <v>183</v>
      </c>
      <c r="D26" s="83" t="s">
        <v>184</v>
      </c>
      <c r="E26" s="46" t="s">
        <v>51</v>
      </c>
      <c r="F26" s="46">
        <v>4320</v>
      </c>
      <c r="G26" s="78" t="s">
        <v>51</v>
      </c>
      <c r="H26" s="78" t="s">
        <v>51</v>
      </c>
      <c r="I26" s="78" t="s">
        <v>51</v>
      </c>
      <c r="J26" s="78" t="s">
        <v>51</v>
      </c>
      <c r="K26" s="83" t="s">
        <v>108</v>
      </c>
      <c r="L26" s="86" t="s">
        <v>109</v>
      </c>
      <c r="M26" s="95">
        <v>-18.096312999999999</v>
      </c>
      <c r="N26" s="95">
        <v>-51.035632</v>
      </c>
      <c r="O26" s="86"/>
      <c r="P26" s="78" t="s">
        <v>175</v>
      </c>
      <c r="Q26" s="78" t="str">
        <f t="shared" si="4"/>
        <v>n/a</v>
      </c>
      <c r="R26" s="78" t="s">
        <v>54</v>
      </c>
      <c r="S26" s="78" t="s">
        <v>54</v>
      </c>
      <c r="T26" s="87" t="s">
        <v>185</v>
      </c>
      <c r="U26" s="88">
        <v>45307</v>
      </c>
      <c r="V26" s="78" t="s">
        <v>186</v>
      </c>
      <c r="W26" s="65">
        <v>10569169.32</v>
      </c>
      <c r="X26" s="65">
        <v>9591521.1600000001</v>
      </c>
      <c r="Y26" s="67">
        <f t="shared" si="0"/>
        <v>9.2499999801308894E-2</v>
      </c>
      <c r="Z26" s="80">
        <f t="shared" si="1"/>
        <v>2220.2595277777777</v>
      </c>
      <c r="AA26" s="78" t="s">
        <v>53</v>
      </c>
      <c r="AB26" s="78" t="s">
        <v>53</v>
      </c>
      <c r="AC26" s="78" t="s">
        <v>53</v>
      </c>
      <c r="AD26" s="80">
        <f>X26</f>
        <v>9591521.1600000001</v>
      </c>
      <c r="AE26" s="78" t="s">
        <v>5</v>
      </c>
      <c r="AF26" s="81">
        <f t="shared" si="2"/>
        <v>1813.3199999999997</v>
      </c>
      <c r="AG26" s="78"/>
      <c r="AH26" s="78"/>
      <c r="AI26" s="78"/>
    </row>
    <row r="27" spans="1:35" ht="30.95" customHeight="1">
      <c r="A27" s="83" t="s">
        <v>187</v>
      </c>
      <c r="B27" s="83" t="s">
        <v>188</v>
      </c>
      <c r="C27" s="83" t="s">
        <v>174</v>
      </c>
      <c r="D27" s="83" t="s">
        <v>115</v>
      </c>
      <c r="E27" s="46" t="s">
        <v>51</v>
      </c>
      <c r="F27" s="46">
        <v>6720</v>
      </c>
      <c r="G27" s="78" t="s">
        <v>51</v>
      </c>
      <c r="H27" s="78" t="s">
        <v>51</v>
      </c>
      <c r="I27" s="78" t="s">
        <v>51</v>
      </c>
      <c r="J27" s="78" t="s">
        <v>51</v>
      </c>
      <c r="K27" s="83" t="s">
        <v>108</v>
      </c>
      <c r="L27" s="86" t="s">
        <v>189</v>
      </c>
      <c r="M27" s="95"/>
      <c r="N27" s="95"/>
      <c r="O27" s="86"/>
      <c r="P27" s="78" t="s">
        <v>175</v>
      </c>
      <c r="Q27" s="78" t="str">
        <f t="shared" si="4"/>
        <v>n/a</v>
      </c>
      <c r="R27" s="78" t="s">
        <v>54</v>
      </c>
      <c r="S27" s="78" t="s">
        <v>54</v>
      </c>
      <c r="T27" s="78" t="s">
        <v>110</v>
      </c>
      <c r="U27" s="79" t="s">
        <v>54</v>
      </c>
      <c r="V27" s="79" t="s">
        <v>54</v>
      </c>
      <c r="W27" s="79" t="s">
        <v>54</v>
      </c>
      <c r="X27" s="79" t="s">
        <v>54</v>
      </c>
      <c r="Y27" s="67" t="e">
        <f t="shared" si="0"/>
        <v>#VALUE!</v>
      </c>
      <c r="Z27" s="80" t="e">
        <f t="shared" si="1"/>
        <v>#VALUE!</v>
      </c>
      <c r="AA27" s="78" t="s">
        <v>53</v>
      </c>
      <c r="AB27" s="78" t="s">
        <v>53</v>
      </c>
      <c r="AC27" s="78" t="s">
        <v>53</v>
      </c>
      <c r="AD27" s="80">
        <f>Z26*F27</f>
        <v>14920144.026666667</v>
      </c>
      <c r="AE27" s="78" t="s">
        <v>176</v>
      </c>
      <c r="AF27" s="81">
        <f t="shared" si="2"/>
        <v>2820.72</v>
      </c>
      <c r="AG27" s="78"/>
      <c r="AH27" s="78"/>
      <c r="AI27" s="78"/>
    </row>
    <row r="28" spans="1:35" ht="30.95" customHeight="1">
      <c r="A28" s="83" t="s">
        <v>190</v>
      </c>
      <c r="B28" s="83" t="s">
        <v>191</v>
      </c>
      <c r="C28" s="83" t="s">
        <v>192</v>
      </c>
      <c r="D28" s="83" t="s">
        <v>193</v>
      </c>
      <c r="E28" s="46" t="s">
        <v>51</v>
      </c>
      <c r="F28" s="46">
        <v>162000</v>
      </c>
      <c r="G28" s="78" t="s">
        <v>51</v>
      </c>
      <c r="H28" s="78" t="s">
        <v>51</v>
      </c>
      <c r="I28" s="78" t="s">
        <v>51</v>
      </c>
      <c r="J28" s="78" t="s">
        <v>51</v>
      </c>
      <c r="K28" s="83" t="s">
        <v>108</v>
      </c>
      <c r="L28" s="86" t="s">
        <v>122</v>
      </c>
      <c r="M28" s="95">
        <v>-8.1639999999999997</v>
      </c>
      <c r="N28" s="95">
        <v>-34.978999999999999</v>
      </c>
      <c r="O28" s="86"/>
      <c r="P28" s="78" t="s">
        <v>65</v>
      </c>
      <c r="Q28" s="78" t="str">
        <f t="shared" si="4"/>
        <v>n/a</v>
      </c>
      <c r="R28" s="78" t="s">
        <v>54</v>
      </c>
      <c r="S28" s="78" t="s">
        <v>54</v>
      </c>
      <c r="T28" s="78" t="s">
        <v>194</v>
      </c>
      <c r="U28" s="79">
        <v>45385</v>
      </c>
      <c r="V28" s="78" t="s">
        <v>195</v>
      </c>
      <c r="W28" s="65">
        <v>409820841.94999999</v>
      </c>
      <c r="X28" s="65">
        <v>371912414.06999999</v>
      </c>
      <c r="Y28" s="67">
        <f t="shared" si="0"/>
        <v>9.2499999999084953E-2</v>
      </c>
      <c r="Z28" s="80">
        <f t="shared" si="1"/>
        <v>2295.7556424074073</v>
      </c>
      <c r="AA28" s="78" t="s">
        <v>53</v>
      </c>
      <c r="AB28" s="78" t="s">
        <v>53</v>
      </c>
      <c r="AC28" s="78" t="s">
        <v>53</v>
      </c>
      <c r="AD28" s="80">
        <f>X28</f>
        <v>371912414.06999999</v>
      </c>
      <c r="AE28" s="78" t="s">
        <v>5</v>
      </c>
      <c r="AF28" s="81">
        <f t="shared" si="2"/>
        <v>67999.5</v>
      </c>
      <c r="AG28" s="78"/>
      <c r="AH28" s="78"/>
      <c r="AI28" s="78"/>
    </row>
    <row r="29" spans="1:35" ht="30.95" customHeight="1">
      <c r="A29" s="60" t="s">
        <v>196</v>
      </c>
      <c r="B29" s="60" t="s">
        <v>197</v>
      </c>
      <c r="C29" s="60" t="s">
        <v>198</v>
      </c>
      <c r="D29" s="60" t="s">
        <v>44</v>
      </c>
      <c r="E29" s="58" t="s">
        <v>51</v>
      </c>
      <c r="F29" s="58">
        <v>130368</v>
      </c>
      <c r="G29" s="57" t="s">
        <v>51</v>
      </c>
      <c r="H29" s="57" t="s">
        <v>51</v>
      </c>
      <c r="I29" s="57" t="s">
        <v>51</v>
      </c>
      <c r="J29" s="57" t="s">
        <v>51</v>
      </c>
      <c r="K29" s="60" t="s">
        <v>108</v>
      </c>
      <c r="L29" s="61" t="s">
        <v>109</v>
      </c>
      <c r="M29" s="96">
        <v>-22.637</v>
      </c>
      <c r="N29" s="96">
        <v>-47.683999999999997</v>
      </c>
      <c r="O29" s="61"/>
      <c r="P29" s="57" t="s">
        <v>52</v>
      </c>
      <c r="Q29" s="57" t="str">
        <f t="shared" si="4"/>
        <v>n/a</v>
      </c>
      <c r="R29" s="57" t="s">
        <v>54</v>
      </c>
      <c r="S29" s="57" t="s">
        <v>54</v>
      </c>
      <c r="T29" s="57" t="s">
        <v>199</v>
      </c>
      <c r="U29" s="71">
        <v>44901</v>
      </c>
      <c r="V29" s="57" t="s">
        <v>200</v>
      </c>
      <c r="W29" s="64">
        <v>279349817.37</v>
      </c>
      <c r="X29" s="64">
        <v>257252768.91</v>
      </c>
      <c r="Y29" s="66">
        <f t="shared" si="0"/>
        <v>7.9101710779829776E-2</v>
      </c>
      <c r="Z29" s="70">
        <f t="shared" si="1"/>
        <v>1973.2815484628129</v>
      </c>
      <c r="AA29" s="57" t="s">
        <v>53</v>
      </c>
      <c r="AB29" s="57" t="s">
        <v>53</v>
      </c>
      <c r="AC29" s="57" t="s">
        <v>53</v>
      </c>
      <c r="AD29" s="70">
        <f>X29</f>
        <v>257252768.91</v>
      </c>
      <c r="AE29" s="57" t="s">
        <v>5</v>
      </c>
      <c r="AF29" s="74">
        <f t="shared" si="2"/>
        <v>54721.967999999993</v>
      </c>
      <c r="AG29" s="57"/>
      <c r="AH29" s="57"/>
      <c r="AI29" s="57"/>
    </row>
    <row r="30" spans="1:35" ht="30.95" customHeight="1">
      <c r="A30" s="83" t="s">
        <v>201</v>
      </c>
      <c r="B30" s="83" t="s">
        <v>202</v>
      </c>
      <c r="C30" s="83" t="s">
        <v>203</v>
      </c>
      <c r="D30" s="83" t="s">
        <v>204</v>
      </c>
      <c r="E30" s="46" t="s">
        <v>51</v>
      </c>
      <c r="F30" s="46">
        <v>10800</v>
      </c>
      <c r="G30" s="78" t="s">
        <v>51</v>
      </c>
      <c r="H30" s="78" t="s">
        <v>51</v>
      </c>
      <c r="I30" s="78" t="s">
        <v>51</v>
      </c>
      <c r="J30" s="78" t="s">
        <v>51</v>
      </c>
      <c r="K30" s="83" t="s">
        <v>108</v>
      </c>
      <c r="L30" s="84" t="s">
        <v>205</v>
      </c>
      <c r="M30" s="97">
        <v>-19.87</v>
      </c>
      <c r="N30" s="97">
        <v>-47.436</v>
      </c>
      <c r="O30" s="84"/>
      <c r="P30" s="78" t="s">
        <v>175</v>
      </c>
      <c r="Q30" s="78" t="str">
        <f t="shared" si="4"/>
        <v>n/a</v>
      </c>
      <c r="R30" s="78" t="s">
        <v>54</v>
      </c>
      <c r="S30" s="78" t="s">
        <v>54</v>
      </c>
      <c r="T30" s="78" t="s">
        <v>110</v>
      </c>
      <c r="U30" s="79" t="s">
        <v>54</v>
      </c>
      <c r="V30" s="79" t="s">
        <v>54</v>
      </c>
      <c r="W30" s="79" t="s">
        <v>54</v>
      </c>
      <c r="X30" s="79" t="s">
        <v>54</v>
      </c>
      <c r="Y30" s="67" t="e">
        <f t="shared" si="0"/>
        <v>#VALUE!</v>
      </c>
      <c r="Z30" s="80" t="e">
        <f t="shared" si="1"/>
        <v>#VALUE!</v>
      </c>
      <c r="AA30" s="78" t="s">
        <v>53</v>
      </c>
      <c r="AB30" s="78" t="s">
        <v>53</v>
      </c>
      <c r="AC30" s="78" t="s">
        <v>53</v>
      </c>
      <c r="AD30" s="80">
        <f>Z26*F30</f>
        <v>23978802.899999999</v>
      </c>
      <c r="AE30" s="78" t="s">
        <v>206</v>
      </c>
      <c r="AF30" s="81">
        <f t="shared" si="2"/>
        <v>4533.3</v>
      </c>
      <c r="AG30" s="78"/>
      <c r="AH30" s="78"/>
      <c r="AI30" s="78"/>
    </row>
    <row r="31" spans="1:35" ht="30.95" customHeight="1">
      <c r="A31" s="83" t="s">
        <v>207</v>
      </c>
      <c r="B31" s="83" t="s">
        <v>208</v>
      </c>
      <c r="C31" s="83" t="s">
        <v>114</v>
      </c>
      <c r="D31" s="83" t="s">
        <v>115</v>
      </c>
      <c r="E31" s="46" t="s">
        <v>51</v>
      </c>
      <c r="F31" s="46">
        <v>4320</v>
      </c>
      <c r="G31" s="78" t="s">
        <v>51</v>
      </c>
      <c r="H31" s="78" t="s">
        <v>51</v>
      </c>
      <c r="I31" s="78" t="s">
        <v>51</v>
      </c>
      <c r="J31" s="78" t="s">
        <v>51</v>
      </c>
      <c r="K31" s="83" t="s">
        <v>108</v>
      </c>
      <c r="L31" s="86" t="s">
        <v>209</v>
      </c>
      <c r="M31" s="95">
        <v>-27.372443199999999</v>
      </c>
      <c r="N31" s="95">
        <v>-51.047634000000002</v>
      </c>
      <c r="O31" s="86"/>
      <c r="P31" s="78"/>
      <c r="Q31" s="78" t="str">
        <f t="shared" si="4"/>
        <v>n/a</v>
      </c>
      <c r="R31" s="78" t="s">
        <v>54</v>
      </c>
      <c r="S31" s="78" t="s">
        <v>54</v>
      </c>
      <c r="T31" s="78" t="s">
        <v>210</v>
      </c>
      <c r="U31" s="79">
        <v>45320</v>
      </c>
      <c r="V31" s="78" t="s">
        <v>211</v>
      </c>
      <c r="W31" s="65">
        <v>4190406.46</v>
      </c>
      <c r="X31" s="65">
        <v>3829801.86</v>
      </c>
      <c r="Y31" s="67">
        <f t="shared" si="0"/>
        <v>8.605480242601575E-2</v>
      </c>
      <c r="Z31" s="80">
        <f t="shared" si="1"/>
        <v>886.52820833333328</v>
      </c>
      <c r="AA31" s="78" t="s">
        <v>53</v>
      </c>
      <c r="AB31" s="78" t="s">
        <v>53</v>
      </c>
      <c r="AC31" s="78" t="s">
        <v>53</v>
      </c>
      <c r="AD31" s="80">
        <f>X31</f>
        <v>3829801.86</v>
      </c>
      <c r="AE31" s="78" t="s">
        <v>5</v>
      </c>
      <c r="AF31" s="81">
        <f t="shared" si="2"/>
        <v>1813.3199999999997</v>
      </c>
      <c r="AG31" s="78"/>
      <c r="AH31" s="78"/>
      <c r="AI31" s="78"/>
    </row>
    <row r="32" spans="1:35" ht="30.95" customHeight="1">
      <c r="A32" s="83" t="s">
        <v>212</v>
      </c>
      <c r="B32" s="83" t="s">
        <v>213</v>
      </c>
      <c r="C32" s="83" t="s">
        <v>214</v>
      </c>
      <c r="D32" s="83" t="s">
        <v>128</v>
      </c>
      <c r="E32" s="46" t="s">
        <v>51</v>
      </c>
      <c r="F32" s="46">
        <v>36000</v>
      </c>
      <c r="G32" s="78" t="s">
        <v>51</v>
      </c>
      <c r="H32" s="78" t="s">
        <v>51</v>
      </c>
      <c r="I32" s="78" t="s">
        <v>51</v>
      </c>
      <c r="J32" s="78" t="s">
        <v>51</v>
      </c>
      <c r="K32" s="83" t="s">
        <v>108</v>
      </c>
      <c r="L32" s="84" t="s">
        <v>122</v>
      </c>
      <c r="M32" s="97">
        <v>-29.879899999999999</v>
      </c>
      <c r="N32" s="97">
        <v>-51.407679999999999</v>
      </c>
      <c r="O32" s="84"/>
      <c r="P32" s="78"/>
      <c r="Q32" s="78" t="str">
        <f t="shared" si="4"/>
        <v>n/a</v>
      </c>
      <c r="R32" s="78" t="s">
        <v>54</v>
      </c>
      <c r="S32" s="78" t="s">
        <v>54</v>
      </c>
      <c r="T32" s="78" t="s">
        <v>215</v>
      </c>
      <c r="U32" s="79">
        <v>45083</v>
      </c>
      <c r="V32" s="78" t="s">
        <v>216</v>
      </c>
      <c r="W32" s="65">
        <v>170690721.16</v>
      </c>
      <c r="X32" s="65">
        <v>159388022.72999999</v>
      </c>
      <c r="Y32" s="67">
        <f t="shared" si="0"/>
        <v>6.6217415646192157E-2</v>
      </c>
      <c r="Z32" s="80">
        <f t="shared" si="1"/>
        <v>4427.4450758333332</v>
      </c>
      <c r="AA32" s="78" t="s">
        <v>217</v>
      </c>
      <c r="AB32" s="85">
        <v>196000000</v>
      </c>
      <c r="AC32" s="65">
        <v>157000000</v>
      </c>
      <c r="AD32" s="80">
        <f>X32</f>
        <v>159388022.72999999</v>
      </c>
      <c r="AE32" s="78" t="s">
        <v>5</v>
      </c>
      <c r="AF32" s="81">
        <f t="shared" si="2"/>
        <v>15110.999999999998</v>
      </c>
      <c r="AG32" s="78"/>
      <c r="AH32" s="78"/>
      <c r="AI32" s="78"/>
    </row>
    <row r="33" spans="1:35" ht="30.95" customHeight="1">
      <c r="A33" s="60" t="s">
        <v>218</v>
      </c>
      <c r="B33" s="60" t="s">
        <v>219</v>
      </c>
      <c r="C33" s="60" t="s">
        <v>220</v>
      </c>
      <c r="D33" s="60" t="s">
        <v>184</v>
      </c>
      <c r="E33" s="58" t="s">
        <v>51</v>
      </c>
      <c r="F33" s="58">
        <v>17300</v>
      </c>
      <c r="G33" s="57" t="s">
        <v>51</v>
      </c>
      <c r="H33" s="57" t="s">
        <v>51</v>
      </c>
      <c r="I33" s="57" t="s">
        <v>51</v>
      </c>
      <c r="J33" s="57" t="s">
        <v>51</v>
      </c>
      <c r="K33" s="60" t="s">
        <v>108</v>
      </c>
      <c r="L33" s="61" t="s">
        <v>221</v>
      </c>
      <c r="M33" s="96">
        <v>-17.684999999999999</v>
      </c>
      <c r="N33" s="96">
        <v>-50.115000000000002</v>
      </c>
      <c r="O33" s="61"/>
      <c r="P33" s="57" t="s">
        <v>52</v>
      </c>
      <c r="Q33" s="57" t="str">
        <f t="shared" si="4"/>
        <v>n/a</v>
      </c>
      <c r="R33" s="57" t="s">
        <v>54</v>
      </c>
      <c r="S33" s="57" t="s">
        <v>54</v>
      </c>
      <c r="T33" s="57" t="s">
        <v>222</v>
      </c>
      <c r="U33" s="71">
        <v>45320</v>
      </c>
      <c r="V33" s="57" t="s">
        <v>223</v>
      </c>
      <c r="W33" s="64">
        <v>260706124.84</v>
      </c>
      <c r="X33" s="64">
        <v>239191711.53</v>
      </c>
      <c r="Y33" s="66">
        <f t="shared" si="0"/>
        <v>8.2523620506437204E-2</v>
      </c>
      <c r="Z33" s="70">
        <f t="shared" si="1"/>
        <v>13826.110493063585</v>
      </c>
      <c r="AA33" s="57" t="s">
        <v>53</v>
      </c>
      <c r="AB33" s="57" t="s">
        <v>53</v>
      </c>
      <c r="AC33" s="57" t="s">
        <v>53</v>
      </c>
      <c r="AD33" s="70">
        <f>X33</f>
        <v>239191711.53</v>
      </c>
      <c r="AE33" s="57" t="s">
        <v>5</v>
      </c>
      <c r="AF33" s="74">
        <f t="shared" si="2"/>
        <v>7261.6749999999993</v>
      </c>
      <c r="AG33" s="57"/>
      <c r="AH33" s="57"/>
      <c r="AI33" s="57"/>
    </row>
    <row r="34" spans="1:35" ht="30.95" customHeight="1">
      <c r="A34" s="60" t="s">
        <v>224</v>
      </c>
      <c r="B34" s="60" t="s">
        <v>225</v>
      </c>
      <c r="C34" s="60" t="s">
        <v>226</v>
      </c>
      <c r="D34" s="60" t="s">
        <v>227</v>
      </c>
      <c r="E34" s="58" t="s">
        <v>51</v>
      </c>
      <c r="F34" s="58">
        <v>27600</v>
      </c>
      <c r="G34" s="57" t="s">
        <v>51</v>
      </c>
      <c r="H34" s="57" t="s">
        <v>51</v>
      </c>
      <c r="I34" s="57" t="s">
        <v>51</v>
      </c>
      <c r="J34" s="57" t="s">
        <v>51</v>
      </c>
      <c r="K34" s="60" t="s">
        <v>108</v>
      </c>
      <c r="L34" s="61" t="s">
        <v>228</v>
      </c>
      <c r="M34" s="96">
        <v>-14.768000000000001</v>
      </c>
      <c r="N34" s="98">
        <v>-57.192999999999998</v>
      </c>
      <c r="O34" s="61"/>
      <c r="P34" s="57" t="s">
        <v>52</v>
      </c>
      <c r="Q34" s="57" t="str">
        <f t="shared" si="4"/>
        <v>n/a</v>
      </c>
      <c r="R34" s="57" t="s">
        <v>54</v>
      </c>
      <c r="S34" s="57" t="s">
        <v>54</v>
      </c>
      <c r="T34" s="57" t="s">
        <v>229</v>
      </c>
      <c r="U34" s="71">
        <v>45205</v>
      </c>
      <c r="V34" s="57" t="s">
        <v>230</v>
      </c>
      <c r="W34" s="64">
        <v>236975822.44999999</v>
      </c>
      <c r="X34" s="64">
        <v>218051905.06999999</v>
      </c>
      <c r="Y34" s="66">
        <f t="shared" si="0"/>
        <v>7.9855899156095519E-2</v>
      </c>
      <c r="Z34" s="70">
        <f t="shared" si="1"/>
        <v>7900.4313431159417</v>
      </c>
      <c r="AA34" s="57" t="s">
        <v>231</v>
      </c>
      <c r="AB34" s="73">
        <v>243000000</v>
      </c>
      <c r="AC34" s="64">
        <v>80000000</v>
      </c>
      <c r="AD34" s="70">
        <f>X34</f>
        <v>218051905.06999999</v>
      </c>
      <c r="AE34" s="57" t="s">
        <v>5</v>
      </c>
      <c r="AF34" s="74">
        <f t="shared" si="2"/>
        <v>11585.1</v>
      </c>
      <c r="AG34" s="57"/>
      <c r="AH34" s="57"/>
      <c r="AI34" s="57"/>
    </row>
    <row r="35" spans="1:35" ht="30.95" customHeight="1">
      <c r="A35" s="83" t="s">
        <v>232</v>
      </c>
      <c r="B35" s="83" t="s">
        <v>233</v>
      </c>
      <c r="C35" s="83" t="s">
        <v>234</v>
      </c>
      <c r="D35" s="83" t="s">
        <v>235</v>
      </c>
      <c r="E35" s="46" t="s">
        <v>51</v>
      </c>
      <c r="F35" s="46">
        <v>25000</v>
      </c>
      <c r="G35" s="78" t="s">
        <v>51</v>
      </c>
      <c r="H35" s="78" t="s">
        <v>51</v>
      </c>
      <c r="I35" s="78" t="s">
        <v>51</v>
      </c>
      <c r="J35" s="78" t="s">
        <v>51</v>
      </c>
      <c r="K35" s="83" t="s">
        <v>108</v>
      </c>
      <c r="L35" s="84" t="s">
        <v>236</v>
      </c>
      <c r="M35" s="97">
        <v>-20.241</v>
      </c>
      <c r="N35" s="97">
        <v>-40.378999999999998</v>
      </c>
      <c r="O35" s="84"/>
      <c r="P35" s="78" t="s">
        <v>65</v>
      </c>
      <c r="Q35" s="78" t="str">
        <f t="shared" si="4"/>
        <v>n/a</v>
      </c>
      <c r="R35" s="78" t="s">
        <v>54</v>
      </c>
      <c r="S35" s="78" t="s">
        <v>54</v>
      </c>
      <c r="T35" s="78" t="s">
        <v>110</v>
      </c>
      <c r="U35" s="79" t="s">
        <v>54</v>
      </c>
      <c r="V35" s="79" t="s">
        <v>54</v>
      </c>
      <c r="W35" s="79" t="s">
        <v>54</v>
      </c>
      <c r="X35" s="79" t="s">
        <v>54</v>
      </c>
      <c r="Y35" s="67" t="e">
        <f t="shared" si="0"/>
        <v>#VALUE!</v>
      </c>
      <c r="Z35" s="80" t="e">
        <f t="shared" si="1"/>
        <v>#VALUE!</v>
      </c>
      <c r="AA35" s="78" t="s">
        <v>53</v>
      </c>
      <c r="AB35" s="78" t="s">
        <v>53</v>
      </c>
      <c r="AC35" s="78" t="s">
        <v>53</v>
      </c>
      <c r="AD35" s="80">
        <f>Z28*F35</f>
        <v>57393891.060185187</v>
      </c>
      <c r="AE35" s="78" t="s">
        <v>136</v>
      </c>
      <c r="AF35" s="81">
        <f t="shared" si="2"/>
        <v>10493.75</v>
      </c>
      <c r="AG35" s="78"/>
      <c r="AH35" s="78"/>
      <c r="AI35" s="78"/>
    </row>
    <row r="36" spans="1:35" ht="30.95" customHeight="1">
      <c r="A36" s="83" t="s">
        <v>237</v>
      </c>
      <c r="B36" s="83" t="s">
        <v>238</v>
      </c>
      <c r="C36" s="83" t="s">
        <v>239</v>
      </c>
      <c r="D36" s="83" t="s">
        <v>168</v>
      </c>
      <c r="E36" s="46" t="s">
        <v>51</v>
      </c>
      <c r="F36" s="46">
        <v>17000</v>
      </c>
      <c r="G36" s="78" t="s">
        <v>51</v>
      </c>
      <c r="H36" s="78" t="s">
        <v>51</v>
      </c>
      <c r="I36" s="78" t="s">
        <v>51</v>
      </c>
      <c r="J36" s="78" t="s">
        <v>51</v>
      </c>
      <c r="K36" s="83" t="s">
        <v>108</v>
      </c>
      <c r="L36" s="84" t="s">
        <v>240</v>
      </c>
      <c r="M36" s="97">
        <v>-25.663</v>
      </c>
      <c r="N36" s="97">
        <v>-49.338999999999999</v>
      </c>
      <c r="O36" s="84"/>
      <c r="P36" s="78" t="s">
        <v>65</v>
      </c>
      <c r="Q36" s="78" t="str">
        <f t="shared" si="4"/>
        <v>n/a</v>
      </c>
      <c r="R36" s="78" t="s">
        <v>54</v>
      </c>
      <c r="S36" s="78" t="s">
        <v>54</v>
      </c>
      <c r="T36" s="78" t="s">
        <v>110</v>
      </c>
      <c r="U36" s="79" t="s">
        <v>54</v>
      </c>
      <c r="V36" s="79" t="s">
        <v>54</v>
      </c>
      <c r="W36" s="79" t="s">
        <v>54</v>
      </c>
      <c r="X36" s="79" t="s">
        <v>54</v>
      </c>
      <c r="Y36" s="67" t="e">
        <f t="shared" si="0"/>
        <v>#VALUE!</v>
      </c>
      <c r="Z36" s="80" t="e">
        <f t="shared" si="1"/>
        <v>#VALUE!</v>
      </c>
      <c r="AA36" s="78" t="s">
        <v>53</v>
      </c>
      <c r="AB36" s="78" t="s">
        <v>53</v>
      </c>
      <c r="AC36" s="78" t="s">
        <v>53</v>
      </c>
      <c r="AD36" s="80">
        <f>Z28*F36</f>
        <v>39027845.920925923</v>
      </c>
      <c r="AE36" s="78" t="s">
        <v>136</v>
      </c>
      <c r="AF36" s="81">
        <f t="shared" si="2"/>
        <v>7135.7499999999991</v>
      </c>
      <c r="AG36" s="78"/>
      <c r="AH36" s="78"/>
      <c r="AI36" s="78"/>
    </row>
    <row r="37" spans="1:35" ht="30.95" customHeight="1">
      <c r="A37" s="60" t="s">
        <v>241</v>
      </c>
      <c r="B37" s="60" t="s">
        <v>242</v>
      </c>
      <c r="C37" s="60" t="s">
        <v>243</v>
      </c>
      <c r="D37" s="60" t="s">
        <v>204</v>
      </c>
      <c r="E37" s="58" t="s">
        <v>51</v>
      </c>
      <c r="F37" s="58">
        <v>30000</v>
      </c>
      <c r="G37" s="57" t="s">
        <v>51</v>
      </c>
      <c r="H37" s="57" t="s">
        <v>51</v>
      </c>
      <c r="I37" s="57" t="s">
        <v>51</v>
      </c>
      <c r="J37" s="57" t="s">
        <v>51</v>
      </c>
      <c r="K37" s="60" t="s">
        <v>108</v>
      </c>
      <c r="L37" s="62" t="s">
        <v>109</v>
      </c>
      <c r="M37" s="94">
        <v>-18.662357</v>
      </c>
      <c r="N37" s="94">
        <v>-48.659761000000003</v>
      </c>
      <c r="O37" s="62"/>
      <c r="P37" s="57" t="s">
        <v>52</v>
      </c>
      <c r="Q37" s="57" t="str">
        <f t="shared" si="4"/>
        <v>n/a</v>
      </c>
      <c r="R37" s="57" t="s">
        <v>54</v>
      </c>
      <c r="S37" s="57" t="s">
        <v>54</v>
      </c>
      <c r="T37" s="57" t="s">
        <v>244</v>
      </c>
      <c r="U37" s="71">
        <v>45300</v>
      </c>
      <c r="V37" s="89" t="s">
        <v>245</v>
      </c>
      <c r="W37" s="64">
        <v>31244171.539999999</v>
      </c>
      <c r="X37" s="64">
        <v>28454067.02</v>
      </c>
      <c r="Y37" s="66">
        <f t="shared" si="0"/>
        <v>8.9300000047304817E-2</v>
      </c>
      <c r="Z37" s="70">
        <f t="shared" si="1"/>
        <v>948.46890066666663</v>
      </c>
      <c r="AA37" s="57" t="s">
        <v>53</v>
      </c>
      <c r="AB37" s="57" t="s">
        <v>53</v>
      </c>
      <c r="AC37" s="57" t="s">
        <v>53</v>
      </c>
      <c r="AD37" s="70">
        <f>X37</f>
        <v>28454067.02</v>
      </c>
      <c r="AE37" s="57" t="s">
        <v>5</v>
      </c>
      <c r="AF37" s="74">
        <f t="shared" si="2"/>
        <v>12592.499999999998</v>
      </c>
      <c r="AG37" s="57"/>
      <c r="AH37" s="57"/>
      <c r="AI37" s="57"/>
    </row>
    <row r="38" spans="1:35">
      <c r="A38" s="83"/>
      <c r="B38" s="83"/>
      <c r="C38" s="83"/>
      <c r="D38" s="83"/>
      <c r="E38" s="46"/>
      <c r="F38" s="78"/>
      <c r="G38" s="78"/>
      <c r="H38" s="78"/>
      <c r="I38" s="78"/>
      <c r="J38" s="78"/>
      <c r="K38" s="78"/>
      <c r="L38" s="78"/>
      <c r="M38" s="78"/>
      <c r="N38" s="78"/>
      <c r="O38" s="78"/>
      <c r="P38" s="78"/>
      <c r="Q38" s="78"/>
      <c r="R38" s="78"/>
      <c r="S38" s="78"/>
      <c r="T38" s="78"/>
      <c r="U38" s="79"/>
      <c r="V38" s="78"/>
      <c r="W38" s="78"/>
      <c r="X38" s="78"/>
      <c r="Y38" s="67"/>
      <c r="Z38" s="78"/>
      <c r="AA38" s="78"/>
      <c r="AB38" s="90"/>
      <c r="AC38" s="78"/>
      <c r="AD38" s="78"/>
      <c r="AE38" s="78"/>
      <c r="AF38" s="81">
        <f t="shared" si="2"/>
        <v>0</v>
      </c>
      <c r="AG38" s="78"/>
      <c r="AH38" s="78"/>
      <c r="AI38" s="78"/>
    </row>
    <row r="39" spans="1:35">
      <c r="A39" s="83"/>
      <c r="B39" s="83"/>
      <c r="C39" s="83"/>
      <c r="D39" s="83"/>
      <c r="E39" s="46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9"/>
      <c r="V39" s="78"/>
      <c r="W39" s="78"/>
      <c r="X39" s="78"/>
      <c r="Y39" s="67"/>
      <c r="Z39" s="78"/>
      <c r="AA39" s="78"/>
      <c r="AB39" s="90"/>
      <c r="AC39" s="78"/>
      <c r="AD39" s="78"/>
      <c r="AE39" s="78"/>
      <c r="AF39" s="81">
        <f t="shared" si="2"/>
        <v>0</v>
      </c>
      <c r="AG39" s="78"/>
      <c r="AH39" s="78"/>
      <c r="AI39" s="78"/>
    </row>
    <row r="40" spans="1:35">
      <c r="A40" s="83"/>
      <c r="B40" s="83"/>
      <c r="C40" s="83"/>
      <c r="D40" s="83"/>
      <c r="E40" s="46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  <c r="Q40" s="78"/>
      <c r="R40" s="78"/>
      <c r="S40" s="78"/>
      <c r="T40" s="78"/>
      <c r="U40" s="79"/>
      <c r="V40" s="78"/>
      <c r="W40" s="78"/>
      <c r="X40" s="78"/>
      <c r="Y40" s="67"/>
      <c r="Z40" s="78"/>
      <c r="AA40" s="78"/>
      <c r="AB40" s="90"/>
      <c r="AC40" s="78"/>
      <c r="AD40" s="78"/>
      <c r="AE40" s="78"/>
      <c r="AF40" s="81">
        <f t="shared" si="2"/>
        <v>0</v>
      </c>
      <c r="AG40" s="78"/>
      <c r="AH40" s="78"/>
      <c r="AI40" s="78"/>
    </row>
    <row r="41" spans="1:35">
      <c r="A41" s="83"/>
      <c r="B41" s="83"/>
      <c r="C41" s="83"/>
      <c r="D41" s="83"/>
      <c r="E41" s="46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78"/>
      <c r="S41" s="78"/>
      <c r="T41" s="78"/>
      <c r="U41" s="79"/>
      <c r="V41" s="78"/>
      <c r="W41" s="78"/>
      <c r="X41" s="78"/>
      <c r="Y41" s="67"/>
      <c r="Z41" s="78"/>
      <c r="AA41" s="78"/>
      <c r="AB41" s="90"/>
      <c r="AC41" s="78"/>
      <c r="AD41" s="78"/>
      <c r="AE41" s="78"/>
      <c r="AF41" s="81">
        <f t="shared" si="2"/>
        <v>0</v>
      </c>
      <c r="AG41" s="78"/>
      <c r="AH41" s="78"/>
      <c r="AI41" s="78"/>
    </row>
    <row r="42" spans="1:35">
      <c r="A42" s="83"/>
      <c r="B42" s="83"/>
      <c r="C42" s="83"/>
      <c r="D42" s="83"/>
      <c r="E42" s="46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78"/>
      <c r="U42" s="79"/>
      <c r="V42" s="78"/>
      <c r="W42" s="78"/>
      <c r="X42" s="78"/>
      <c r="Y42" s="67"/>
      <c r="Z42" s="78"/>
      <c r="AA42" s="78"/>
      <c r="AB42" s="90"/>
      <c r="AC42" s="78"/>
      <c r="AD42" s="78"/>
      <c r="AE42" s="78"/>
      <c r="AF42" s="81">
        <f t="shared" si="2"/>
        <v>0</v>
      </c>
      <c r="AG42" s="78"/>
      <c r="AH42" s="78"/>
      <c r="AI42" s="78"/>
    </row>
    <row r="43" spans="1:35">
      <c r="A43" s="83"/>
      <c r="B43" s="83"/>
      <c r="C43" s="83"/>
      <c r="D43" s="83"/>
      <c r="E43" s="46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78"/>
      <c r="R43" s="78"/>
      <c r="S43" s="78"/>
      <c r="T43" s="78"/>
      <c r="U43" s="79"/>
      <c r="V43" s="78"/>
      <c r="W43" s="78"/>
      <c r="X43" s="78"/>
      <c r="Y43" s="67"/>
      <c r="Z43" s="78"/>
      <c r="AA43" s="78"/>
      <c r="AB43" s="90"/>
      <c r="AC43" s="78"/>
      <c r="AD43" s="78"/>
      <c r="AE43" s="78"/>
      <c r="AF43" s="81">
        <f t="shared" si="2"/>
        <v>0</v>
      </c>
      <c r="AG43" s="78"/>
      <c r="AH43" s="78"/>
      <c r="AI43" s="78"/>
    </row>
    <row r="44" spans="1:35">
      <c r="A44" s="83"/>
      <c r="B44" s="83"/>
      <c r="C44" s="83"/>
      <c r="D44" s="83"/>
      <c r="E44" s="46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  <c r="Q44" s="78"/>
      <c r="R44" s="78"/>
      <c r="S44" s="78"/>
      <c r="T44" s="78"/>
      <c r="U44" s="79"/>
      <c r="V44" s="78"/>
      <c r="W44" s="78"/>
      <c r="X44" s="78"/>
      <c r="Y44" s="67"/>
      <c r="Z44" s="78"/>
      <c r="AA44" s="78"/>
      <c r="AB44" s="90"/>
      <c r="AC44" s="78"/>
      <c r="AD44" s="78"/>
      <c r="AE44" s="78"/>
      <c r="AF44" s="81">
        <f t="shared" si="2"/>
        <v>0</v>
      </c>
      <c r="AG44" s="78"/>
      <c r="AH44" s="78"/>
      <c r="AI44" s="78"/>
    </row>
    <row r="45" spans="1:35">
      <c r="A45" s="83"/>
      <c r="B45" s="83"/>
      <c r="C45" s="83"/>
      <c r="D45" s="83"/>
      <c r="E45" s="46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  <c r="R45" s="78"/>
      <c r="S45" s="78"/>
      <c r="T45" s="78"/>
      <c r="U45" s="79"/>
      <c r="V45" s="78"/>
      <c r="W45" s="78"/>
      <c r="X45" s="78"/>
      <c r="Y45" s="67"/>
      <c r="Z45" s="78"/>
      <c r="AA45" s="78"/>
      <c r="AB45" s="90"/>
      <c r="AC45" s="78"/>
      <c r="AD45" s="78"/>
      <c r="AE45" s="78"/>
      <c r="AF45" s="81">
        <f t="shared" si="2"/>
        <v>0</v>
      </c>
      <c r="AG45" s="78"/>
      <c r="AH45" s="78"/>
      <c r="AI45" s="78"/>
    </row>
    <row r="46" spans="1:35">
      <c r="A46" s="83"/>
      <c r="B46" s="83"/>
      <c r="C46" s="83"/>
      <c r="D46" s="83"/>
      <c r="E46" s="46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  <c r="Q46" s="78"/>
      <c r="R46" s="78"/>
      <c r="S46" s="78"/>
      <c r="T46" s="78"/>
      <c r="U46" s="79"/>
      <c r="V46" s="78"/>
      <c r="W46" s="78"/>
      <c r="X46" s="78"/>
      <c r="Y46" s="67"/>
      <c r="Z46" s="78"/>
      <c r="AA46" s="78"/>
      <c r="AB46" s="90"/>
      <c r="AC46" s="78"/>
      <c r="AD46" s="78"/>
      <c r="AE46" s="78"/>
      <c r="AF46" s="81">
        <f t="shared" si="2"/>
        <v>0</v>
      </c>
      <c r="AG46" s="78"/>
      <c r="AH46" s="78"/>
      <c r="AI46" s="78"/>
    </row>
    <row r="47" spans="1:35">
      <c r="A47" s="83"/>
      <c r="B47" s="83"/>
      <c r="C47" s="83"/>
      <c r="D47" s="83"/>
      <c r="E47" s="46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  <c r="R47" s="78"/>
      <c r="S47" s="78"/>
      <c r="T47" s="78"/>
      <c r="U47" s="79"/>
      <c r="V47" s="78"/>
      <c r="W47" s="78"/>
      <c r="X47" s="78"/>
      <c r="Y47" s="67"/>
      <c r="Z47" s="78"/>
      <c r="AA47" s="78"/>
      <c r="AB47" s="90"/>
      <c r="AC47" s="78"/>
      <c r="AD47" s="78"/>
      <c r="AE47" s="78"/>
      <c r="AF47" s="81">
        <f t="shared" si="2"/>
        <v>0</v>
      </c>
      <c r="AG47" s="78"/>
      <c r="AH47" s="78"/>
      <c r="AI47" s="78"/>
    </row>
    <row r="48" spans="1:35">
      <c r="A48" s="83"/>
      <c r="B48" s="83"/>
      <c r="C48" s="83"/>
      <c r="D48" s="83"/>
      <c r="E48" s="46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78"/>
      <c r="U48" s="79"/>
      <c r="V48" s="78"/>
      <c r="W48" s="78"/>
      <c r="X48" s="78"/>
      <c r="Y48" s="67"/>
      <c r="Z48" s="78"/>
      <c r="AA48" s="78"/>
      <c r="AB48" s="90"/>
      <c r="AC48" s="78"/>
      <c r="AD48" s="78"/>
      <c r="AE48" s="78"/>
      <c r="AF48" s="81">
        <f t="shared" si="2"/>
        <v>0</v>
      </c>
      <c r="AG48" s="78"/>
      <c r="AH48" s="78"/>
      <c r="AI48" s="78"/>
    </row>
    <row r="49" spans="1:35">
      <c r="A49" s="83"/>
      <c r="B49" s="83"/>
      <c r="C49" s="83"/>
      <c r="D49" s="83"/>
      <c r="E49" s="46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78"/>
      <c r="S49" s="78"/>
      <c r="T49" s="78"/>
      <c r="U49" s="79"/>
      <c r="V49" s="78"/>
      <c r="W49" s="78"/>
      <c r="X49" s="78"/>
      <c r="Y49" s="67"/>
      <c r="Z49" s="78"/>
      <c r="AA49" s="78"/>
      <c r="AB49" s="90"/>
      <c r="AC49" s="78"/>
      <c r="AD49" s="78"/>
      <c r="AE49" s="78"/>
      <c r="AF49" s="81">
        <f t="shared" si="2"/>
        <v>0</v>
      </c>
      <c r="AG49" s="78"/>
      <c r="AH49" s="78"/>
      <c r="AI49" s="78"/>
    </row>
    <row r="50" spans="1:35">
      <c r="A50" s="83"/>
      <c r="B50" s="83"/>
      <c r="C50" s="83"/>
      <c r="D50" s="83"/>
      <c r="E50" s="46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  <c r="T50" s="78"/>
      <c r="U50" s="79"/>
      <c r="V50" s="78"/>
      <c r="W50" s="78"/>
      <c r="X50" s="78"/>
      <c r="Y50" s="67"/>
      <c r="Z50" s="78"/>
      <c r="AA50" s="78"/>
      <c r="AB50" s="90"/>
      <c r="AC50" s="78"/>
      <c r="AD50" s="78"/>
      <c r="AE50" s="78"/>
      <c r="AF50" s="81">
        <f t="shared" si="2"/>
        <v>0</v>
      </c>
      <c r="AG50" s="78"/>
      <c r="AH50" s="78"/>
      <c r="AI50" s="78"/>
    </row>
    <row r="51" spans="1:35">
      <c r="A51" s="83"/>
      <c r="B51" s="83"/>
      <c r="C51" s="83"/>
      <c r="D51" s="83"/>
      <c r="E51" s="46"/>
      <c r="F51" s="78"/>
      <c r="G51" s="78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78"/>
      <c r="S51" s="78"/>
      <c r="T51" s="78"/>
      <c r="U51" s="79"/>
      <c r="V51" s="78"/>
      <c r="W51" s="78"/>
      <c r="X51" s="78"/>
      <c r="Y51" s="67"/>
      <c r="Z51" s="78"/>
      <c r="AA51" s="78"/>
      <c r="AB51" s="90"/>
      <c r="AC51" s="78"/>
      <c r="AD51" s="78"/>
      <c r="AE51" s="78"/>
      <c r="AF51" s="81">
        <f t="shared" si="2"/>
        <v>0</v>
      </c>
      <c r="AG51" s="78"/>
      <c r="AH51" s="78"/>
      <c r="AI51" s="78"/>
    </row>
    <row r="52" spans="1:35">
      <c r="A52" s="83"/>
      <c r="B52" s="83"/>
      <c r="C52" s="83"/>
      <c r="D52" s="83"/>
      <c r="E52" s="46"/>
      <c r="F52" s="78"/>
      <c r="G52" s="78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 s="78"/>
      <c r="S52" s="78"/>
      <c r="T52" s="78"/>
      <c r="U52" s="79"/>
      <c r="V52" s="78"/>
      <c r="W52" s="78"/>
      <c r="X52" s="78"/>
      <c r="Y52" s="67"/>
      <c r="Z52" s="78"/>
      <c r="AA52" s="78"/>
      <c r="AB52" s="90"/>
      <c r="AC52" s="78"/>
      <c r="AD52" s="78"/>
      <c r="AE52" s="78"/>
      <c r="AF52" s="81">
        <f t="shared" si="2"/>
        <v>0</v>
      </c>
      <c r="AG52" s="78"/>
      <c r="AH52" s="78"/>
      <c r="AI52" s="78"/>
    </row>
    <row r="53" spans="1:35">
      <c r="A53" s="83"/>
      <c r="B53" s="83"/>
      <c r="C53" s="83"/>
      <c r="D53" s="83"/>
      <c r="E53" s="46"/>
      <c r="F53" s="78"/>
      <c r="G53" s="78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 s="78"/>
      <c r="S53" s="78"/>
      <c r="T53" s="78"/>
      <c r="U53" s="79"/>
      <c r="V53" s="78"/>
      <c r="W53" s="78"/>
      <c r="X53" s="78"/>
      <c r="Y53" s="67"/>
      <c r="Z53" s="78"/>
      <c r="AA53" s="78"/>
      <c r="AB53" s="90"/>
      <c r="AC53" s="78"/>
      <c r="AD53" s="78"/>
      <c r="AE53" s="78"/>
      <c r="AF53" s="81">
        <f t="shared" si="2"/>
        <v>0</v>
      </c>
      <c r="AG53" s="78"/>
      <c r="AH53" s="78"/>
      <c r="AI53" s="78"/>
    </row>
    <row r="54" spans="1:35">
      <c r="A54" s="83"/>
      <c r="B54" s="83"/>
      <c r="C54" s="83"/>
      <c r="D54" s="83"/>
      <c r="E54" s="46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78"/>
      <c r="T54" s="78"/>
      <c r="U54" s="79"/>
      <c r="V54" s="78"/>
      <c r="W54" s="78"/>
      <c r="X54" s="78"/>
      <c r="Y54" s="67"/>
      <c r="Z54" s="78"/>
      <c r="AA54" s="78"/>
      <c r="AB54" s="90"/>
      <c r="AC54" s="78"/>
      <c r="AD54" s="78"/>
      <c r="AE54" s="78"/>
      <c r="AF54" s="81">
        <f t="shared" si="2"/>
        <v>0</v>
      </c>
      <c r="AG54" s="78"/>
      <c r="AH54" s="78"/>
      <c r="AI54" s="78"/>
    </row>
    <row r="55" spans="1:35">
      <c r="A55" s="83"/>
      <c r="B55" s="83"/>
      <c r="C55" s="83"/>
      <c r="D55" s="83"/>
      <c r="E55" s="46"/>
      <c r="F55" s="78"/>
      <c r="G55" s="78"/>
      <c r="H55" s="78"/>
      <c r="I55" s="78"/>
      <c r="J55" s="78"/>
      <c r="K55" s="78"/>
      <c r="L55" s="78"/>
      <c r="M55" s="78"/>
      <c r="N55" s="78"/>
      <c r="O55" s="78"/>
      <c r="P55" s="78"/>
      <c r="Q55" s="78"/>
      <c r="R55" s="78"/>
      <c r="S55" s="78"/>
      <c r="T55" s="78"/>
      <c r="U55" s="79"/>
      <c r="V55" s="78"/>
      <c r="W55" s="78"/>
      <c r="X55" s="78"/>
      <c r="Y55" s="67"/>
      <c r="Z55" s="78"/>
      <c r="AA55" s="78"/>
      <c r="AB55" s="90"/>
      <c r="AC55" s="78"/>
      <c r="AD55" s="78"/>
      <c r="AE55" s="78"/>
      <c r="AF55" s="81">
        <f t="shared" si="2"/>
        <v>0</v>
      </c>
      <c r="AG55" s="78"/>
      <c r="AH55" s="78"/>
      <c r="AI55" s="78"/>
    </row>
    <row r="56" spans="1:35">
      <c r="A56" s="83"/>
      <c r="B56" s="83"/>
      <c r="C56" s="83"/>
      <c r="D56" s="83"/>
      <c r="E56" s="46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9"/>
      <c r="V56" s="78"/>
      <c r="W56" s="78"/>
      <c r="X56" s="78"/>
      <c r="Y56" s="67"/>
      <c r="Z56" s="78"/>
      <c r="AA56" s="78"/>
      <c r="AB56" s="90"/>
      <c r="AC56" s="78"/>
      <c r="AD56" s="78"/>
      <c r="AE56" s="78"/>
      <c r="AF56" s="81">
        <f t="shared" si="2"/>
        <v>0</v>
      </c>
      <c r="AG56" s="78"/>
      <c r="AH56" s="78"/>
      <c r="AI56" s="78"/>
    </row>
    <row r="57" spans="1:35">
      <c r="A57" s="83"/>
      <c r="B57" s="83"/>
      <c r="C57" s="83"/>
      <c r="D57" s="83"/>
      <c r="E57" s="46"/>
      <c r="F57" s="78"/>
      <c r="G57" s="78"/>
      <c r="H57" s="78"/>
      <c r="I57" s="78"/>
      <c r="J57" s="78"/>
      <c r="K57" s="78"/>
      <c r="L57" s="78"/>
      <c r="M57" s="78"/>
      <c r="N57" s="78"/>
      <c r="O57" s="78"/>
      <c r="P57" s="78"/>
      <c r="Q57" s="78"/>
      <c r="R57" s="78"/>
      <c r="S57" s="78"/>
      <c r="T57" s="78"/>
      <c r="U57" s="79"/>
      <c r="V57" s="78"/>
      <c r="W57" s="78"/>
      <c r="X57" s="78"/>
      <c r="Y57" s="67"/>
      <c r="Z57" s="78"/>
      <c r="AA57" s="78"/>
      <c r="AB57" s="90"/>
      <c r="AC57" s="78"/>
      <c r="AD57" s="78"/>
      <c r="AE57" s="78"/>
      <c r="AF57" s="81">
        <f t="shared" si="2"/>
        <v>0</v>
      </c>
      <c r="AG57" s="78"/>
      <c r="AH57" s="78"/>
      <c r="AI57" s="78"/>
    </row>
    <row r="58" spans="1:35">
      <c r="A58" s="83"/>
      <c r="B58" s="83"/>
      <c r="C58" s="83"/>
      <c r="D58" s="83"/>
      <c r="E58" s="46"/>
      <c r="F58" s="78"/>
      <c r="G58" s="78"/>
      <c r="H58" s="78"/>
      <c r="I58" s="78"/>
      <c r="J58" s="78"/>
      <c r="K58" s="78"/>
      <c r="L58" s="78"/>
      <c r="M58" s="78"/>
      <c r="N58" s="78"/>
      <c r="O58" s="78"/>
      <c r="P58" s="78"/>
      <c r="Q58" s="78"/>
      <c r="R58" s="78"/>
      <c r="S58" s="78"/>
      <c r="T58" s="78"/>
      <c r="U58" s="79"/>
      <c r="V58" s="78"/>
      <c r="W58" s="78"/>
      <c r="X58" s="78"/>
      <c r="Y58" s="67"/>
      <c r="Z58" s="78"/>
      <c r="AA58" s="78"/>
      <c r="AB58" s="90"/>
      <c r="AC58" s="78"/>
      <c r="AD58" s="78"/>
      <c r="AE58" s="78"/>
      <c r="AF58" s="81">
        <f t="shared" si="2"/>
        <v>0</v>
      </c>
      <c r="AG58" s="78"/>
      <c r="AH58" s="78"/>
      <c r="AI58" s="78"/>
    </row>
    <row r="59" spans="1:35">
      <c r="A59" s="83"/>
      <c r="B59" s="83"/>
      <c r="C59" s="83"/>
      <c r="D59" s="83"/>
      <c r="E59" s="46"/>
      <c r="F59" s="78"/>
      <c r="G59" s="78"/>
      <c r="H59" s="78"/>
      <c r="I59" s="78"/>
      <c r="J59" s="78"/>
      <c r="K59" s="78"/>
      <c r="L59" s="78"/>
      <c r="M59" s="78"/>
      <c r="N59" s="78"/>
      <c r="O59" s="78"/>
      <c r="P59" s="78"/>
      <c r="Q59" s="78"/>
      <c r="R59" s="78"/>
      <c r="S59" s="78"/>
      <c r="T59" s="78"/>
      <c r="U59" s="79"/>
      <c r="V59" s="78"/>
      <c r="W59" s="78"/>
      <c r="X59" s="78"/>
      <c r="Y59" s="67"/>
      <c r="Z59" s="78"/>
      <c r="AA59" s="78"/>
      <c r="AB59" s="90"/>
      <c r="AC59" s="78"/>
      <c r="AD59" s="78"/>
      <c r="AE59" s="78"/>
      <c r="AF59" s="81">
        <f t="shared" si="2"/>
        <v>0</v>
      </c>
      <c r="AG59" s="78"/>
      <c r="AH59" s="78"/>
      <c r="AI59" s="78"/>
    </row>
    <row r="60" spans="1:35">
      <c r="A60" s="83"/>
      <c r="B60" s="83"/>
      <c r="C60" s="83"/>
      <c r="D60" s="83"/>
      <c r="E60" s="46"/>
      <c r="F60" s="78"/>
      <c r="G60" s="78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9"/>
      <c r="V60" s="78"/>
      <c r="W60" s="78"/>
      <c r="X60" s="78"/>
      <c r="Y60" s="67"/>
      <c r="Z60" s="78"/>
      <c r="AA60" s="78"/>
      <c r="AB60" s="90"/>
      <c r="AC60" s="78"/>
      <c r="AD60" s="78"/>
      <c r="AE60" s="78"/>
      <c r="AF60" s="81">
        <f t="shared" si="2"/>
        <v>0</v>
      </c>
      <c r="AG60" s="78"/>
      <c r="AH60" s="78"/>
      <c r="AI60" s="78"/>
    </row>
    <row r="61" spans="1:35">
      <c r="A61" s="83"/>
      <c r="B61" s="83"/>
      <c r="C61" s="83"/>
      <c r="D61" s="83"/>
      <c r="E61" s="46"/>
      <c r="F61" s="78"/>
      <c r="G61" s="78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78"/>
      <c r="U61" s="79"/>
      <c r="V61" s="78"/>
      <c r="W61" s="78"/>
      <c r="X61" s="78"/>
      <c r="Y61" s="67"/>
      <c r="Z61" s="78"/>
      <c r="AA61" s="78"/>
      <c r="AB61" s="90"/>
      <c r="AC61" s="78"/>
      <c r="AD61" s="78"/>
      <c r="AE61" s="78"/>
      <c r="AF61" s="81">
        <f t="shared" si="2"/>
        <v>0</v>
      </c>
      <c r="AG61" s="78"/>
      <c r="AH61" s="78"/>
      <c r="AI61" s="78"/>
    </row>
    <row r="62" spans="1:35">
      <c r="A62" s="83"/>
      <c r="B62" s="83"/>
      <c r="C62" s="83"/>
      <c r="D62" s="83"/>
      <c r="E62" s="46"/>
      <c r="F62" s="78"/>
      <c r="G62" s="78"/>
      <c r="H62" s="78"/>
      <c r="I62" s="78"/>
      <c r="J62" s="78"/>
      <c r="K62" s="78"/>
      <c r="L62" s="78"/>
      <c r="M62" s="78"/>
      <c r="N62" s="78"/>
      <c r="O62" s="78"/>
      <c r="P62" s="78"/>
      <c r="Q62" s="78"/>
      <c r="R62" s="78"/>
      <c r="S62" s="78"/>
      <c r="T62" s="78"/>
      <c r="U62" s="79"/>
      <c r="V62" s="78"/>
      <c r="W62" s="78"/>
      <c r="X62" s="78"/>
      <c r="Y62" s="67"/>
      <c r="Z62" s="78"/>
      <c r="AA62" s="78"/>
      <c r="AB62" s="90"/>
      <c r="AC62" s="78"/>
      <c r="AD62" s="78"/>
      <c r="AE62" s="78"/>
      <c r="AF62" s="81">
        <f t="shared" si="2"/>
        <v>0</v>
      </c>
      <c r="AG62" s="78"/>
      <c r="AH62" s="78"/>
      <c r="AI62" s="78"/>
    </row>
    <row r="63" spans="1:35">
      <c r="A63" s="83"/>
      <c r="B63" s="83"/>
      <c r="C63" s="83"/>
      <c r="D63" s="83"/>
      <c r="E63" s="46"/>
      <c r="F63" s="78"/>
      <c r="G63" s="78"/>
      <c r="H63" s="78"/>
      <c r="I63" s="78"/>
      <c r="J63" s="78"/>
      <c r="K63" s="78"/>
      <c r="L63" s="78"/>
      <c r="M63" s="78"/>
      <c r="N63" s="78"/>
      <c r="O63" s="78"/>
      <c r="P63" s="78"/>
      <c r="Q63" s="78"/>
      <c r="R63" s="78"/>
      <c r="S63" s="78"/>
      <c r="T63" s="78"/>
      <c r="U63" s="79"/>
      <c r="V63" s="78"/>
      <c r="W63" s="78"/>
      <c r="X63" s="78"/>
      <c r="Y63" s="67"/>
      <c r="Z63" s="78"/>
      <c r="AA63" s="78"/>
      <c r="AB63" s="90"/>
      <c r="AC63" s="78"/>
      <c r="AD63" s="78"/>
      <c r="AE63" s="78"/>
      <c r="AF63" s="81">
        <f t="shared" si="2"/>
        <v>0</v>
      </c>
      <c r="AG63" s="78"/>
      <c r="AH63" s="78"/>
      <c r="AI63" s="78"/>
    </row>
    <row r="64" spans="1:35">
      <c r="A64" s="83"/>
      <c r="B64" s="83"/>
      <c r="C64" s="83"/>
      <c r="D64" s="83"/>
      <c r="E64" s="46"/>
      <c r="F64" s="78"/>
      <c r="G64" s="78"/>
      <c r="H64" s="78"/>
      <c r="I64" s="78"/>
      <c r="J64" s="78"/>
      <c r="K64" s="78"/>
      <c r="L64" s="78"/>
      <c r="M64" s="78"/>
      <c r="N64" s="78"/>
      <c r="O64" s="78"/>
      <c r="P64" s="78"/>
      <c r="Q64" s="78"/>
      <c r="R64" s="78"/>
      <c r="S64" s="78"/>
      <c r="T64" s="78"/>
      <c r="U64" s="79"/>
      <c r="V64" s="78"/>
      <c r="W64" s="78"/>
      <c r="X64" s="78"/>
      <c r="Y64" s="67"/>
      <c r="Z64" s="78"/>
      <c r="AA64" s="78"/>
      <c r="AB64" s="90"/>
      <c r="AC64" s="78"/>
      <c r="AD64" s="78"/>
      <c r="AE64" s="78"/>
      <c r="AF64" s="81">
        <f t="shared" si="2"/>
        <v>0</v>
      </c>
      <c r="AG64" s="78"/>
      <c r="AH64" s="78"/>
      <c r="AI64" s="78"/>
    </row>
    <row r="65" spans="1:35">
      <c r="A65" s="83"/>
      <c r="B65" s="83"/>
      <c r="C65" s="83"/>
      <c r="D65" s="83"/>
      <c r="E65" s="46"/>
      <c r="F65" s="78"/>
      <c r="G65" s="78"/>
      <c r="H65" s="78"/>
      <c r="I65" s="78"/>
      <c r="J65" s="78"/>
      <c r="K65" s="78"/>
      <c r="L65" s="78"/>
      <c r="M65" s="78"/>
      <c r="N65" s="78"/>
      <c r="O65" s="78"/>
      <c r="P65" s="78"/>
      <c r="Q65" s="78"/>
      <c r="R65" s="78"/>
      <c r="S65" s="78"/>
      <c r="T65" s="78"/>
      <c r="U65" s="79"/>
      <c r="V65" s="78"/>
      <c r="W65" s="78"/>
      <c r="X65" s="78"/>
      <c r="Y65" s="67"/>
      <c r="Z65" s="78"/>
      <c r="AA65" s="78"/>
      <c r="AB65" s="90"/>
      <c r="AC65" s="78"/>
      <c r="AD65" s="78"/>
      <c r="AE65" s="78"/>
      <c r="AF65" s="81">
        <f t="shared" si="2"/>
        <v>0</v>
      </c>
      <c r="AG65" s="78"/>
      <c r="AH65" s="78"/>
      <c r="AI65" s="78"/>
    </row>
    <row r="66" spans="1:35">
      <c r="A66" s="83"/>
      <c r="B66" s="83"/>
      <c r="C66" s="83"/>
      <c r="D66" s="83"/>
      <c r="E66" s="46"/>
      <c r="F66" s="78"/>
      <c r="G66" s="78"/>
      <c r="H66" s="78"/>
      <c r="I66" s="78"/>
      <c r="J66" s="78"/>
      <c r="K66" s="78"/>
      <c r="L66" s="78"/>
      <c r="M66" s="78"/>
      <c r="N66" s="78"/>
      <c r="O66" s="78"/>
      <c r="P66" s="78"/>
      <c r="Q66" s="78"/>
      <c r="R66" s="78"/>
      <c r="S66" s="78"/>
      <c r="T66" s="78"/>
      <c r="U66" s="79"/>
      <c r="V66" s="78"/>
      <c r="W66" s="78"/>
      <c r="X66" s="78"/>
      <c r="Y66" s="67"/>
      <c r="Z66" s="78"/>
      <c r="AA66" s="78"/>
      <c r="AB66" s="90"/>
      <c r="AC66" s="78"/>
      <c r="AD66" s="78"/>
      <c r="AE66" s="78"/>
      <c r="AF66" s="81">
        <f t="shared" si="2"/>
        <v>0</v>
      </c>
      <c r="AG66" s="78"/>
      <c r="AH66" s="78"/>
      <c r="AI66" s="78"/>
    </row>
    <row r="67" spans="1:35">
      <c r="A67" s="83"/>
      <c r="B67" s="83"/>
      <c r="C67" s="83"/>
      <c r="D67" s="83"/>
      <c r="E67" s="46"/>
      <c r="F67" s="78"/>
      <c r="G67" s="78"/>
      <c r="H67" s="78"/>
      <c r="I67" s="78"/>
      <c r="J67" s="78"/>
      <c r="K67" s="78"/>
      <c r="L67" s="78"/>
      <c r="M67" s="78"/>
      <c r="N67" s="78"/>
      <c r="O67" s="78"/>
      <c r="P67" s="78"/>
      <c r="Q67" s="78"/>
      <c r="R67" s="78"/>
      <c r="S67" s="78"/>
      <c r="T67" s="78"/>
      <c r="U67" s="79"/>
      <c r="V67" s="78"/>
      <c r="W67" s="78"/>
      <c r="X67" s="78"/>
      <c r="Y67" s="67"/>
      <c r="Z67" s="78"/>
      <c r="AA67" s="78"/>
      <c r="AB67" s="90"/>
      <c r="AC67" s="78"/>
      <c r="AD67" s="78"/>
      <c r="AE67" s="78"/>
      <c r="AF67" s="81">
        <f t="shared" si="2"/>
        <v>0</v>
      </c>
      <c r="AG67" s="78"/>
      <c r="AH67" s="78"/>
      <c r="AI67" s="78"/>
    </row>
    <row r="68" spans="1:35">
      <c r="A68" s="83"/>
      <c r="B68" s="83"/>
      <c r="C68" s="83"/>
      <c r="D68" s="83"/>
      <c r="E68" s="46"/>
      <c r="F68" s="78"/>
      <c r="G68" s="78"/>
      <c r="H68" s="78"/>
      <c r="I68" s="78"/>
      <c r="J68" s="78"/>
      <c r="K68" s="78"/>
      <c r="L68" s="78"/>
      <c r="M68" s="78"/>
      <c r="N68" s="78"/>
      <c r="O68" s="78"/>
      <c r="P68" s="78"/>
      <c r="Q68" s="78"/>
      <c r="R68" s="78"/>
      <c r="S68" s="78"/>
      <c r="T68" s="78"/>
      <c r="U68" s="79"/>
      <c r="V68" s="78"/>
      <c r="W68" s="78"/>
      <c r="X68" s="78"/>
      <c r="Y68" s="67"/>
      <c r="Z68" s="78"/>
      <c r="AA68" s="78"/>
      <c r="AB68" s="90"/>
      <c r="AC68" s="78"/>
      <c r="AD68" s="78"/>
      <c r="AE68" s="78"/>
      <c r="AF68" s="81">
        <f t="shared" si="2"/>
        <v>0</v>
      </c>
      <c r="AG68" s="78"/>
      <c r="AH68" s="78"/>
      <c r="AI68" s="78"/>
    </row>
    <row r="69" spans="1:35">
      <c r="A69" s="83"/>
      <c r="B69" s="83"/>
      <c r="C69" s="83"/>
      <c r="D69" s="83"/>
      <c r="E69" s="46"/>
      <c r="F69" s="78"/>
      <c r="G69" s="78"/>
      <c r="H69" s="78"/>
      <c r="I69" s="78"/>
      <c r="J69" s="78"/>
      <c r="K69" s="78"/>
      <c r="L69" s="78"/>
      <c r="M69" s="78"/>
      <c r="N69" s="78"/>
      <c r="O69" s="78"/>
      <c r="P69" s="78"/>
      <c r="Q69" s="78"/>
      <c r="R69" s="78"/>
      <c r="S69" s="78"/>
      <c r="T69" s="78"/>
      <c r="U69" s="79"/>
      <c r="V69" s="78"/>
      <c r="W69" s="78"/>
      <c r="X69" s="78"/>
      <c r="Y69" s="67"/>
      <c r="Z69" s="78"/>
      <c r="AA69" s="78"/>
      <c r="AB69" s="90"/>
      <c r="AC69" s="78"/>
      <c r="AD69" s="78"/>
      <c r="AE69" s="78"/>
      <c r="AF69" s="81">
        <f t="shared" si="2"/>
        <v>0</v>
      </c>
      <c r="AG69" s="78"/>
      <c r="AH69" s="78"/>
      <c r="AI69" s="78"/>
    </row>
    <row r="70" spans="1:35">
      <c r="A70" s="83"/>
      <c r="B70" s="83"/>
      <c r="C70" s="83"/>
      <c r="D70" s="83"/>
      <c r="E70" s="46"/>
      <c r="F70" s="78"/>
      <c r="G70" s="78"/>
      <c r="H70" s="78"/>
      <c r="I70" s="78"/>
      <c r="J70" s="78"/>
      <c r="K70" s="78"/>
      <c r="L70" s="78"/>
      <c r="M70" s="78"/>
      <c r="N70" s="78"/>
      <c r="O70" s="78"/>
      <c r="P70" s="78"/>
      <c r="Q70" s="78"/>
      <c r="R70" s="78"/>
      <c r="S70" s="78"/>
      <c r="T70" s="78"/>
      <c r="U70" s="79"/>
      <c r="V70" s="78"/>
      <c r="W70" s="78"/>
      <c r="X70" s="78"/>
      <c r="Y70" s="67"/>
      <c r="Z70" s="78"/>
      <c r="AA70" s="78"/>
      <c r="AB70" s="90"/>
      <c r="AC70" s="78"/>
      <c r="AD70" s="78"/>
      <c r="AE70" s="78"/>
      <c r="AF70" s="81">
        <f t="shared" si="2"/>
        <v>0</v>
      </c>
      <c r="AG70" s="78"/>
      <c r="AH70" s="78"/>
      <c r="AI70" s="78"/>
    </row>
    <row r="71" spans="1:35">
      <c r="A71" s="83"/>
      <c r="B71" s="83"/>
      <c r="C71" s="83"/>
      <c r="D71" s="83"/>
      <c r="E71" s="46"/>
      <c r="F71" s="78"/>
      <c r="G71" s="78"/>
      <c r="H71" s="78"/>
      <c r="I71" s="78"/>
      <c r="J71" s="78"/>
      <c r="K71" s="78"/>
      <c r="L71" s="78"/>
      <c r="M71" s="78"/>
      <c r="N71" s="78"/>
      <c r="O71" s="78"/>
      <c r="P71" s="78"/>
      <c r="Q71" s="78"/>
      <c r="R71" s="78"/>
      <c r="S71" s="78"/>
      <c r="T71" s="78"/>
      <c r="U71" s="79"/>
      <c r="V71" s="78"/>
      <c r="W71" s="78"/>
      <c r="X71" s="78"/>
      <c r="Y71" s="67"/>
      <c r="Z71" s="78"/>
      <c r="AA71" s="78"/>
      <c r="AB71" s="90"/>
      <c r="AC71" s="78"/>
      <c r="AD71" s="78"/>
      <c r="AE71" s="78"/>
      <c r="AF71" s="81">
        <f t="shared" si="2"/>
        <v>0</v>
      </c>
      <c r="AG71" s="78"/>
      <c r="AH71" s="78"/>
      <c r="AI71" s="78"/>
    </row>
    <row r="72" spans="1:35">
      <c r="A72" s="83"/>
      <c r="B72" s="83"/>
      <c r="C72" s="83"/>
      <c r="D72" s="83"/>
      <c r="E72" s="46"/>
      <c r="F72" s="78"/>
      <c r="G72" s="78"/>
      <c r="H72" s="78"/>
      <c r="I72" s="78"/>
      <c r="J72" s="78"/>
      <c r="K72" s="78"/>
      <c r="L72" s="78"/>
      <c r="M72" s="78"/>
      <c r="N72" s="78"/>
      <c r="O72" s="78"/>
      <c r="P72" s="78"/>
      <c r="Q72" s="78"/>
      <c r="R72" s="78"/>
      <c r="S72" s="78"/>
      <c r="T72" s="78"/>
      <c r="U72" s="79"/>
      <c r="V72" s="78"/>
      <c r="W72" s="78"/>
      <c r="X72" s="78"/>
      <c r="Y72" s="67"/>
      <c r="Z72" s="78"/>
      <c r="AA72" s="78"/>
      <c r="AB72" s="90"/>
      <c r="AC72" s="78"/>
      <c r="AD72" s="78"/>
      <c r="AE72" s="78"/>
      <c r="AF72" s="78"/>
      <c r="AG72" s="78"/>
      <c r="AH72" s="78"/>
      <c r="AI72" s="78"/>
    </row>
    <row r="73" spans="1:35">
      <c r="A73" s="83"/>
      <c r="B73" s="83"/>
      <c r="C73" s="83"/>
      <c r="D73" s="83"/>
      <c r="E73" s="46"/>
      <c r="F73" s="78"/>
      <c r="G73" s="78"/>
      <c r="H73" s="78"/>
      <c r="I73" s="78"/>
      <c r="J73" s="78"/>
      <c r="K73" s="78"/>
      <c r="L73" s="78"/>
      <c r="M73" s="78"/>
      <c r="N73" s="78"/>
      <c r="O73" s="78"/>
      <c r="P73" s="78"/>
      <c r="Q73" s="78"/>
      <c r="R73" s="78"/>
      <c r="S73" s="78"/>
      <c r="T73" s="78"/>
      <c r="U73" s="79"/>
      <c r="V73" s="78"/>
      <c r="W73" s="78"/>
      <c r="X73" s="78"/>
      <c r="Y73" s="67"/>
      <c r="Z73" s="78"/>
      <c r="AA73" s="78"/>
      <c r="AB73" s="90"/>
      <c r="AC73" s="78"/>
      <c r="AD73" s="78"/>
      <c r="AE73" s="78"/>
      <c r="AF73" s="78"/>
      <c r="AG73" s="78"/>
      <c r="AH73" s="78"/>
      <c r="AI73" s="78"/>
    </row>
    <row r="74" spans="1:35">
      <c r="A74" s="83"/>
      <c r="B74" s="83"/>
      <c r="C74" s="83"/>
      <c r="D74" s="83"/>
      <c r="E74" s="46"/>
      <c r="F74" s="78"/>
      <c r="G74" s="78"/>
      <c r="H74" s="78"/>
      <c r="I74" s="78"/>
      <c r="J74" s="78"/>
      <c r="K74" s="78"/>
      <c r="L74" s="78"/>
      <c r="M74" s="78"/>
      <c r="N74" s="78"/>
      <c r="O74" s="78"/>
      <c r="P74" s="78"/>
      <c r="Q74" s="78"/>
      <c r="R74" s="78"/>
      <c r="S74" s="78"/>
      <c r="T74" s="78"/>
      <c r="U74" s="79"/>
      <c r="V74" s="78"/>
      <c r="W74" s="78"/>
      <c r="X74" s="78"/>
      <c r="Y74" s="67"/>
      <c r="Z74" s="78"/>
      <c r="AA74" s="78"/>
      <c r="AB74" s="90"/>
      <c r="AC74" s="78"/>
      <c r="AD74" s="78"/>
      <c r="AE74" s="78"/>
      <c r="AF74" s="78"/>
      <c r="AG74" s="78"/>
      <c r="AH74" s="78"/>
      <c r="AI74" s="78"/>
    </row>
    <row r="75" spans="1:35">
      <c r="A75" s="83"/>
      <c r="B75" s="83"/>
      <c r="C75" s="83"/>
      <c r="D75" s="83"/>
      <c r="E75" s="46"/>
      <c r="F75" s="78"/>
      <c r="G75" s="78"/>
      <c r="H75" s="78"/>
      <c r="I75" s="78"/>
      <c r="J75" s="78"/>
      <c r="K75" s="78"/>
      <c r="L75" s="78"/>
      <c r="M75" s="78"/>
      <c r="N75" s="78"/>
      <c r="O75" s="78"/>
      <c r="P75" s="78"/>
      <c r="Q75" s="78"/>
      <c r="R75" s="78"/>
      <c r="S75" s="78"/>
      <c r="T75" s="78"/>
      <c r="U75" s="79"/>
      <c r="V75" s="78"/>
      <c r="W75" s="78"/>
      <c r="X75" s="78"/>
      <c r="Y75" s="67"/>
      <c r="Z75" s="78"/>
      <c r="AA75" s="78"/>
      <c r="AB75" s="90"/>
      <c r="AC75" s="78"/>
      <c r="AD75" s="78"/>
      <c r="AE75" s="78"/>
      <c r="AF75" s="78"/>
      <c r="AG75" s="78"/>
      <c r="AH75" s="78"/>
      <c r="AI75" s="78"/>
    </row>
    <row r="76" spans="1:35">
      <c r="A76" s="83"/>
      <c r="B76" s="83"/>
      <c r="C76" s="83"/>
      <c r="D76" s="83"/>
      <c r="E76" s="46"/>
      <c r="F76" s="78"/>
      <c r="G76" s="78"/>
      <c r="H76" s="78"/>
      <c r="I76" s="78"/>
      <c r="J76" s="78"/>
      <c r="K76" s="78"/>
      <c r="L76" s="78"/>
      <c r="M76" s="78"/>
      <c r="N76" s="78"/>
      <c r="O76" s="78"/>
      <c r="P76" s="78"/>
      <c r="Q76" s="78"/>
      <c r="R76" s="78"/>
      <c r="S76" s="78"/>
      <c r="T76" s="78"/>
      <c r="U76" s="79"/>
      <c r="V76" s="78"/>
      <c r="W76" s="78"/>
      <c r="X76" s="78"/>
      <c r="Y76" s="67"/>
      <c r="Z76" s="78"/>
      <c r="AA76" s="78"/>
      <c r="AB76" s="90"/>
      <c r="AC76" s="78"/>
      <c r="AD76" s="78"/>
      <c r="AE76" s="78"/>
      <c r="AF76" s="78"/>
      <c r="AG76" s="78"/>
      <c r="AH76" s="78"/>
      <c r="AI76" s="78"/>
    </row>
    <row r="77" spans="1:35">
      <c r="A77" s="83"/>
      <c r="B77" s="83"/>
      <c r="C77" s="83"/>
      <c r="D77" s="83"/>
      <c r="E77" s="46"/>
      <c r="F77" s="78"/>
      <c r="G77" s="78"/>
      <c r="H77" s="78"/>
      <c r="I77" s="78"/>
      <c r="J77" s="78"/>
      <c r="K77" s="78"/>
      <c r="L77" s="78"/>
      <c r="M77" s="78"/>
      <c r="N77" s="78"/>
      <c r="O77" s="78"/>
      <c r="P77" s="78"/>
      <c r="Q77" s="78"/>
      <c r="R77" s="78"/>
      <c r="S77" s="78"/>
      <c r="T77" s="78"/>
      <c r="U77" s="79"/>
      <c r="V77" s="78"/>
      <c r="W77" s="78"/>
      <c r="X77" s="78"/>
      <c r="Y77" s="67"/>
      <c r="Z77" s="78"/>
      <c r="AA77" s="78"/>
      <c r="AB77" s="90"/>
      <c r="AC77" s="78"/>
      <c r="AD77" s="78"/>
      <c r="AE77" s="78"/>
      <c r="AF77" s="78"/>
      <c r="AG77" s="78"/>
      <c r="AH77" s="78"/>
      <c r="AI77" s="78"/>
    </row>
    <row r="78" spans="1:35">
      <c r="A78" s="83"/>
      <c r="B78" s="83"/>
      <c r="C78" s="83"/>
      <c r="D78" s="83"/>
      <c r="E78" s="46"/>
      <c r="F78" s="78"/>
      <c r="G78" s="78"/>
      <c r="H78" s="78"/>
      <c r="I78" s="78"/>
      <c r="J78" s="78"/>
      <c r="K78" s="78"/>
      <c r="L78" s="78"/>
      <c r="M78" s="78"/>
      <c r="N78" s="78"/>
      <c r="O78" s="78"/>
      <c r="P78" s="78"/>
      <c r="Q78" s="78"/>
      <c r="R78" s="78"/>
      <c r="S78" s="78"/>
      <c r="T78" s="78"/>
      <c r="U78" s="79"/>
      <c r="V78" s="78"/>
      <c r="W78" s="78"/>
      <c r="X78" s="78"/>
      <c r="Y78" s="67"/>
      <c r="Z78" s="78"/>
      <c r="AA78" s="78"/>
      <c r="AB78" s="90"/>
      <c r="AC78" s="78"/>
      <c r="AD78" s="78"/>
      <c r="AE78" s="78"/>
      <c r="AF78" s="78"/>
      <c r="AG78" s="78"/>
      <c r="AH78" s="78"/>
      <c r="AI78" s="78"/>
    </row>
    <row r="79" spans="1:35">
      <c r="A79" s="83"/>
      <c r="B79" s="83"/>
      <c r="C79" s="83"/>
      <c r="D79" s="83"/>
      <c r="E79" s="46"/>
      <c r="F79" s="78"/>
      <c r="G79" s="78"/>
      <c r="H79" s="78"/>
      <c r="I79" s="78"/>
      <c r="J79" s="78"/>
      <c r="K79" s="78"/>
      <c r="L79" s="78"/>
      <c r="M79" s="78"/>
      <c r="N79" s="78"/>
      <c r="O79" s="78"/>
      <c r="P79" s="78"/>
      <c r="Q79" s="78"/>
      <c r="R79" s="78"/>
      <c r="S79" s="78"/>
      <c r="T79" s="78"/>
      <c r="U79" s="79"/>
      <c r="V79" s="78"/>
      <c r="W79" s="78"/>
      <c r="X79" s="78"/>
      <c r="Y79" s="67"/>
      <c r="Z79" s="78"/>
      <c r="AA79" s="78"/>
      <c r="AB79" s="90"/>
      <c r="AC79" s="78"/>
      <c r="AD79" s="78"/>
      <c r="AE79" s="78"/>
      <c r="AF79" s="78"/>
      <c r="AG79" s="78"/>
      <c r="AH79" s="78"/>
      <c r="AI79" s="78"/>
    </row>
    <row r="80" spans="1:35">
      <c r="A80" s="83"/>
      <c r="B80" s="83"/>
      <c r="C80" s="83"/>
      <c r="D80" s="83"/>
      <c r="E80" s="46"/>
      <c r="F80" s="78"/>
      <c r="G80" s="78"/>
      <c r="H80" s="78"/>
      <c r="I80" s="78"/>
      <c r="J80" s="78"/>
      <c r="K80" s="78"/>
      <c r="L80" s="78"/>
      <c r="M80" s="78"/>
      <c r="N80" s="78"/>
      <c r="O80" s="78"/>
      <c r="P80" s="78"/>
      <c r="Q80" s="78"/>
      <c r="R80" s="78"/>
      <c r="S80" s="78"/>
      <c r="T80" s="78"/>
      <c r="U80" s="79"/>
      <c r="V80" s="78"/>
      <c r="W80" s="78"/>
      <c r="X80" s="78"/>
      <c r="Y80" s="67"/>
      <c r="Z80" s="78"/>
      <c r="AA80" s="78"/>
      <c r="AB80" s="90"/>
      <c r="AC80" s="78"/>
      <c r="AD80" s="78"/>
      <c r="AE80" s="78"/>
      <c r="AF80" s="78"/>
      <c r="AG80" s="78"/>
      <c r="AH80" s="78"/>
      <c r="AI80" s="78"/>
    </row>
    <row r="81" spans="1:35">
      <c r="A81" s="83"/>
      <c r="B81" s="83"/>
      <c r="C81" s="83"/>
      <c r="D81" s="83"/>
      <c r="E81" s="46"/>
      <c r="F81" s="78"/>
      <c r="G81" s="78"/>
      <c r="H81" s="78"/>
      <c r="I81" s="78"/>
      <c r="J81" s="78"/>
      <c r="K81" s="78"/>
      <c r="L81" s="78"/>
      <c r="M81" s="78"/>
      <c r="N81" s="78"/>
      <c r="O81" s="78"/>
      <c r="P81" s="78"/>
      <c r="Q81" s="78"/>
      <c r="R81" s="78"/>
      <c r="S81" s="78"/>
      <c r="T81" s="78"/>
      <c r="U81" s="79"/>
      <c r="V81" s="78"/>
      <c r="W81" s="78"/>
      <c r="X81" s="78"/>
      <c r="Y81" s="67"/>
      <c r="Z81" s="78"/>
      <c r="AA81" s="78"/>
      <c r="AB81" s="90"/>
      <c r="AC81" s="78"/>
      <c r="AD81" s="78"/>
      <c r="AE81" s="78"/>
      <c r="AF81" s="78"/>
      <c r="AG81" s="78"/>
      <c r="AH81" s="78"/>
      <c r="AI81" s="78"/>
    </row>
    <row r="82" spans="1:35">
      <c r="A82" s="83"/>
      <c r="B82" s="83"/>
      <c r="C82" s="83"/>
      <c r="D82" s="83"/>
      <c r="E82" s="46"/>
      <c r="F82" s="78"/>
      <c r="G82" s="78"/>
      <c r="H82" s="78"/>
      <c r="I82" s="78"/>
      <c r="J82" s="78"/>
      <c r="K82" s="78"/>
      <c r="L82" s="78"/>
      <c r="M82" s="78"/>
      <c r="N82" s="78"/>
      <c r="O82" s="78"/>
      <c r="P82" s="78"/>
      <c r="Q82" s="78"/>
      <c r="R82" s="78"/>
      <c r="S82" s="78"/>
      <c r="T82" s="78"/>
      <c r="U82" s="79"/>
      <c r="V82" s="78"/>
      <c r="W82" s="78"/>
      <c r="X82" s="78"/>
      <c r="Y82" s="67"/>
      <c r="Z82" s="78"/>
      <c r="AA82" s="78"/>
      <c r="AB82" s="90"/>
      <c r="AC82" s="78"/>
      <c r="AD82" s="78"/>
      <c r="AE82" s="78"/>
      <c r="AF82" s="78"/>
      <c r="AG82" s="78"/>
      <c r="AH82" s="78"/>
      <c r="AI82" s="78"/>
    </row>
    <row r="83" spans="1:35">
      <c r="A83" s="83"/>
      <c r="B83" s="83"/>
      <c r="C83" s="83"/>
      <c r="D83" s="83"/>
      <c r="E83" s="46"/>
      <c r="F83" s="78"/>
      <c r="G83" s="78"/>
      <c r="H83" s="78"/>
      <c r="I83" s="78"/>
      <c r="J83" s="78"/>
      <c r="K83" s="78"/>
      <c r="L83" s="78"/>
      <c r="M83" s="78"/>
      <c r="N83" s="78"/>
      <c r="O83" s="78"/>
      <c r="P83" s="78"/>
      <c r="Q83" s="78"/>
      <c r="R83" s="78"/>
      <c r="S83" s="78"/>
      <c r="T83" s="78"/>
      <c r="U83" s="79"/>
      <c r="V83" s="78"/>
      <c r="W83" s="78"/>
      <c r="X83" s="78"/>
      <c r="Y83" s="67"/>
      <c r="Z83" s="78"/>
      <c r="AA83" s="78"/>
      <c r="AB83" s="90"/>
      <c r="AC83" s="78"/>
      <c r="AD83" s="78"/>
      <c r="AE83" s="78"/>
      <c r="AF83" s="78"/>
      <c r="AG83" s="78"/>
      <c r="AH83" s="78"/>
      <c r="AI83" s="78"/>
    </row>
    <row r="84" spans="1:35">
      <c r="A84" s="83"/>
      <c r="B84" s="83"/>
      <c r="C84" s="83"/>
      <c r="D84" s="83"/>
      <c r="E84" s="46"/>
      <c r="F84" s="78"/>
      <c r="G84" s="78"/>
      <c r="H84" s="78"/>
      <c r="I84" s="78"/>
      <c r="J84" s="78"/>
      <c r="K84" s="78"/>
      <c r="L84" s="78"/>
      <c r="M84" s="78"/>
      <c r="N84" s="78"/>
      <c r="O84" s="78"/>
      <c r="P84" s="78"/>
      <c r="Q84" s="78"/>
      <c r="R84" s="78"/>
      <c r="S84" s="78"/>
      <c r="T84" s="78"/>
      <c r="U84" s="79"/>
      <c r="V84" s="78"/>
      <c r="W84" s="78"/>
      <c r="X84" s="78"/>
      <c r="Y84" s="67"/>
      <c r="Z84" s="78"/>
      <c r="AA84" s="78"/>
      <c r="AB84" s="90"/>
      <c r="AC84" s="78"/>
      <c r="AD84" s="78"/>
      <c r="AE84" s="78"/>
      <c r="AF84" s="78"/>
      <c r="AG84" s="78"/>
      <c r="AH84" s="78"/>
      <c r="AI84" s="78"/>
    </row>
    <row r="85" spans="1:35">
      <c r="A85" s="83"/>
      <c r="B85" s="83"/>
      <c r="C85" s="83"/>
      <c r="D85" s="83"/>
      <c r="E85" s="46"/>
      <c r="F85" s="78"/>
      <c r="G85" s="78"/>
      <c r="H85" s="78"/>
      <c r="I85" s="78"/>
      <c r="J85" s="78"/>
      <c r="K85" s="78"/>
      <c r="L85" s="78"/>
      <c r="M85" s="78"/>
      <c r="N85" s="78"/>
      <c r="O85" s="78"/>
      <c r="P85" s="78"/>
      <c r="Q85" s="78"/>
      <c r="R85" s="78"/>
      <c r="S85" s="78"/>
      <c r="T85" s="78"/>
      <c r="U85" s="79"/>
      <c r="V85" s="78"/>
      <c r="W85" s="78"/>
      <c r="X85" s="78"/>
      <c r="Y85" s="67"/>
      <c r="Z85" s="78"/>
      <c r="AA85" s="78"/>
      <c r="AB85" s="90"/>
      <c r="AC85" s="78"/>
      <c r="AD85" s="78"/>
      <c r="AE85" s="78"/>
      <c r="AF85" s="78"/>
      <c r="AG85" s="78"/>
      <c r="AH85" s="78"/>
      <c r="AI85" s="78"/>
    </row>
    <row r="86" spans="1:35">
      <c r="A86" s="83"/>
      <c r="B86" s="83"/>
      <c r="C86" s="83"/>
      <c r="D86" s="83"/>
      <c r="E86" s="46"/>
      <c r="F86" s="78"/>
      <c r="G86" s="78"/>
      <c r="H86" s="78"/>
      <c r="I86" s="78"/>
      <c r="J86" s="78"/>
      <c r="K86" s="78"/>
      <c r="L86" s="78"/>
      <c r="M86" s="78"/>
      <c r="N86" s="78"/>
      <c r="O86" s="78"/>
      <c r="P86" s="78"/>
      <c r="Q86" s="78"/>
      <c r="R86" s="78"/>
      <c r="S86" s="78"/>
      <c r="T86" s="78"/>
      <c r="U86" s="79"/>
      <c r="V86" s="78"/>
      <c r="W86" s="78"/>
      <c r="X86" s="78"/>
      <c r="Y86" s="67"/>
      <c r="Z86" s="78"/>
      <c r="AA86" s="78"/>
      <c r="AB86" s="90"/>
      <c r="AC86" s="78"/>
      <c r="AD86" s="78"/>
      <c r="AE86" s="78"/>
      <c r="AF86" s="78"/>
      <c r="AG86" s="78"/>
      <c r="AH86" s="78"/>
      <c r="AI86" s="78"/>
    </row>
    <row r="87" spans="1:35">
      <c r="A87" s="83"/>
      <c r="B87" s="83"/>
      <c r="C87" s="83"/>
      <c r="D87" s="83"/>
      <c r="E87" s="46"/>
      <c r="F87" s="78"/>
      <c r="G87" s="78"/>
      <c r="H87" s="78"/>
      <c r="I87" s="78"/>
      <c r="J87" s="78"/>
      <c r="K87" s="78"/>
      <c r="L87" s="78"/>
      <c r="M87" s="78"/>
      <c r="N87" s="78"/>
      <c r="O87" s="78"/>
      <c r="P87" s="78"/>
      <c r="Q87" s="78"/>
      <c r="R87" s="78"/>
      <c r="S87" s="78"/>
      <c r="T87" s="78"/>
      <c r="U87" s="79"/>
      <c r="V87" s="78"/>
      <c r="W87" s="78"/>
      <c r="X87" s="78"/>
      <c r="Y87" s="67"/>
      <c r="Z87" s="78"/>
      <c r="AA87" s="78"/>
      <c r="AB87" s="90"/>
      <c r="AC87" s="78"/>
      <c r="AD87" s="78"/>
      <c r="AE87" s="78"/>
      <c r="AF87" s="78"/>
      <c r="AG87" s="78"/>
      <c r="AH87" s="78"/>
      <c r="AI87" s="78"/>
    </row>
    <row r="88" spans="1:35">
      <c r="A88" s="83"/>
      <c r="B88" s="83"/>
      <c r="C88" s="83"/>
      <c r="D88" s="83"/>
      <c r="E88" s="46"/>
      <c r="F88" s="78"/>
      <c r="G88" s="78"/>
      <c r="H88" s="78"/>
      <c r="I88" s="78"/>
      <c r="J88" s="78"/>
      <c r="K88" s="78"/>
      <c r="L88" s="78"/>
      <c r="M88" s="78"/>
      <c r="N88" s="78"/>
      <c r="O88" s="78"/>
      <c r="P88" s="78"/>
      <c r="Q88" s="78"/>
      <c r="R88" s="78"/>
      <c r="S88" s="78"/>
      <c r="T88" s="78"/>
      <c r="U88" s="79"/>
      <c r="V88" s="78"/>
      <c r="W88" s="78"/>
      <c r="X88" s="78"/>
      <c r="Y88" s="67"/>
      <c r="Z88" s="78"/>
      <c r="AA88" s="78"/>
      <c r="AB88" s="90"/>
      <c r="AC88" s="78"/>
      <c r="AD88" s="78"/>
      <c r="AE88" s="78"/>
      <c r="AF88" s="78"/>
      <c r="AG88" s="78"/>
      <c r="AH88" s="78"/>
      <c r="AI88" s="78"/>
    </row>
    <row r="89" spans="1:35">
      <c r="A89" s="83"/>
      <c r="B89" s="83"/>
      <c r="C89" s="83"/>
      <c r="D89" s="83"/>
      <c r="E89" s="46"/>
      <c r="F89" s="78"/>
      <c r="G89" s="78"/>
      <c r="H89" s="78"/>
      <c r="I89" s="78"/>
      <c r="J89" s="78"/>
      <c r="K89" s="78"/>
      <c r="L89" s="78"/>
      <c r="M89" s="78"/>
      <c r="N89" s="78"/>
      <c r="O89" s="78"/>
      <c r="P89" s="78"/>
      <c r="Q89" s="78"/>
      <c r="R89" s="78"/>
      <c r="S89" s="78"/>
      <c r="T89" s="78"/>
      <c r="U89" s="79"/>
      <c r="V89" s="78"/>
      <c r="W89" s="78"/>
      <c r="X89" s="78"/>
      <c r="Y89" s="67"/>
      <c r="Z89" s="78"/>
      <c r="AA89" s="78"/>
      <c r="AB89" s="90"/>
      <c r="AC89" s="78"/>
      <c r="AD89" s="78"/>
      <c r="AE89" s="78"/>
      <c r="AF89" s="78"/>
      <c r="AG89" s="78"/>
      <c r="AH89" s="78"/>
      <c r="AI89" s="78"/>
    </row>
    <row r="90" spans="1:35">
      <c r="A90" s="83"/>
      <c r="B90" s="83"/>
      <c r="C90" s="83"/>
      <c r="D90" s="83"/>
      <c r="E90" s="46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78"/>
      <c r="T90" s="78"/>
      <c r="U90" s="79"/>
      <c r="V90" s="78"/>
      <c r="W90" s="78"/>
      <c r="X90" s="78"/>
      <c r="Y90" s="67"/>
      <c r="Z90" s="78"/>
      <c r="AA90" s="78"/>
      <c r="AB90" s="90"/>
      <c r="AC90" s="78"/>
      <c r="AD90" s="78"/>
      <c r="AE90" s="78"/>
      <c r="AF90" s="78"/>
      <c r="AG90" s="78"/>
      <c r="AH90" s="78"/>
      <c r="AI90" s="78"/>
    </row>
    <row r="91" spans="1:35">
      <c r="A91" s="83"/>
      <c r="B91" s="83"/>
      <c r="C91" s="83"/>
      <c r="D91" s="83"/>
      <c r="E91" s="46"/>
      <c r="F91" s="78"/>
      <c r="G91" s="78"/>
      <c r="H91" s="78"/>
      <c r="I91" s="78"/>
      <c r="J91" s="78"/>
      <c r="K91" s="78"/>
      <c r="L91" s="78"/>
      <c r="M91" s="78"/>
      <c r="N91" s="78"/>
      <c r="O91" s="78"/>
      <c r="P91" s="78"/>
      <c r="Q91" s="78"/>
      <c r="R91" s="78"/>
      <c r="S91" s="78"/>
      <c r="T91" s="78"/>
      <c r="U91" s="79"/>
      <c r="V91" s="78"/>
      <c r="W91" s="78"/>
      <c r="X91" s="78"/>
      <c r="Y91" s="67"/>
      <c r="Z91" s="78"/>
      <c r="AA91" s="78"/>
      <c r="AB91" s="90"/>
      <c r="AC91" s="78"/>
      <c r="AD91" s="78"/>
      <c r="AE91" s="78"/>
      <c r="AF91" s="78"/>
      <c r="AG91" s="78"/>
      <c r="AH91" s="78"/>
      <c r="AI91" s="78"/>
    </row>
    <row r="92" spans="1:35">
      <c r="A92" s="83"/>
      <c r="B92" s="83"/>
      <c r="C92" s="83"/>
      <c r="D92" s="83"/>
      <c r="E92" s="46"/>
      <c r="F92" s="78"/>
      <c r="G92" s="78"/>
      <c r="H92" s="78"/>
      <c r="I92" s="78"/>
      <c r="J92" s="78"/>
      <c r="K92" s="78"/>
      <c r="L92" s="78"/>
      <c r="M92" s="78"/>
      <c r="N92" s="78"/>
      <c r="O92" s="78"/>
      <c r="P92" s="78"/>
      <c r="Q92" s="78"/>
      <c r="R92" s="78"/>
      <c r="S92" s="78"/>
      <c r="T92" s="78"/>
      <c r="U92" s="79"/>
      <c r="V92" s="78"/>
      <c r="W92" s="78"/>
      <c r="X92" s="78"/>
      <c r="Y92" s="67"/>
      <c r="Z92" s="78"/>
      <c r="AA92" s="78"/>
      <c r="AB92" s="90"/>
      <c r="AC92" s="78"/>
      <c r="AD92" s="78"/>
      <c r="AE92" s="78"/>
      <c r="AF92" s="78"/>
      <c r="AG92" s="78"/>
      <c r="AH92" s="78"/>
      <c r="AI92" s="78"/>
    </row>
    <row r="93" spans="1:35">
      <c r="A93" s="83"/>
      <c r="B93" s="83"/>
      <c r="C93" s="83"/>
      <c r="D93" s="83"/>
      <c r="E93" s="46"/>
      <c r="F93" s="78"/>
      <c r="G93" s="78"/>
      <c r="H93" s="78"/>
      <c r="I93" s="78"/>
      <c r="J93" s="78"/>
      <c r="K93" s="78"/>
      <c r="L93" s="78"/>
      <c r="M93" s="78"/>
      <c r="N93" s="78"/>
      <c r="O93" s="78"/>
      <c r="P93" s="78"/>
      <c r="Q93" s="78"/>
      <c r="R93" s="78"/>
      <c r="S93" s="78"/>
      <c r="T93" s="78"/>
      <c r="U93" s="79"/>
      <c r="V93" s="78"/>
      <c r="W93" s="78"/>
      <c r="X93" s="78"/>
      <c r="Y93" s="67"/>
      <c r="Z93" s="78"/>
      <c r="AA93" s="78"/>
      <c r="AB93" s="90"/>
      <c r="AC93" s="78"/>
      <c r="AD93" s="78"/>
      <c r="AE93" s="78"/>
      <c r="AF93" s="78"/>
      <c r="AG93" s="78"/>
      <c r="AH93" s="78"/>
      <c r="AI93" s="78"/>
    </row>
    <row r="94" spans="1:35">
      <c r="A94" s="83"/>
      <c r="B94" s="83"/>
      <c r="C94" s="83"/>
      <c r="D94" s="83"/>
      <c r="E94" s="46"/>
      <c r="F94" s="78"/>
      <c r="G94" s="78"/>
      <c r="H94" s="78"/>
      <c r="I94" s="78"/>
      <c r="J94" s="78"/>
      <c r="K94" s="78"/>
      <c r="L94" s="78"/>
      <c r="M94" s="78"/>
      <c r="N94" s="78"/>
      <c r="O94" s="78"/>
      <c r="P94" s="78"/>
      <c r="Q94" s="78"/>
      <c r="R94" s="78"/>
      <c r="S94" s="78"/>
      <c r="T94" s="78"/>
      <c r="U94" s="79"/>
      <c r="V94" s="78"/>
      <c r="W94" s="78"/>
      <c r="X94" s="78"/>
      <c r="Y94" s="67"/>
      <c r="Z94" s="78"/>
      <c r="AA94" s="78"/>
      <c r="AB94" s="90"/>
      <c r="AC94" s="78"/>
      <c r="AD94" s="78"/>
      <c r="AE94" s="78"/>
      <c r="AF94" s="78"/>
      <c r="AG94" s="78"/>
      <c r="AH94" s="78"/>
      <c r="AI94" s="78"/>
    </row>
    <row r="95" spans="1:35">
      <c r="A95" s="83"/>
      <c r="B95" s="83"/>
      <c r="C95" s="83"/>
      <c r="D95" s="83"/>
      <c r="E95" s="46"/>
      <c r="F95" s="78"/>
      <c r="G95" s="78"/>
      <c r="H95" s="78"/>
      <c r="I95" s="78"/>
      <c r="J95" s="78"/>
      <c r="K95" s="78"/>
      <c r="L95" s="78"/>
      <c r="M95" s="78"/>
      <c r="N95" s="78"/>
      <c r="O95" s="78"/>
      <c r="P95" s="78"/>
      <c r="Q95" s="78"/>
      <c r="R95" s="78"/>
      <c r="S95" s="78"/>
      <c r="T95" s="78"/>
      <c r="U95" s="79"/>
      <c r="V95" s="78"/>
      <c r="W95" s="78"/>
      <c r="X95" s="78"/>
      <c r="Y95" s="67"/>
      <c r="Z95" s="78"/>
      <c r="AA95" s="78"/>
      <c r="AB95" s="90"/>
      <c r="AC95" s="78"/>
      <c r="AD95" s="78"/>
      <c r="AE95" s="78"/>
      <c r="AF95" s="78"/>
      <c r="AG95" s="78"/>
      <c r="AH95" s="78"/>
      <c r="AI95" s="78"/>
    </row>
    <row r="96" spans="1:35">
      <c r="A96" s="83"/>
      <c r="B96" s="83"/>
      <c r="C96" s="83"/>
      <c r="D96" s="83"/>
      <c r="E96" s="46"/>
      <c r="F96" s="78"/>
      <c r="G96" s="78"/>
      <c r="H96" s="78"/>
      <c r="I96" s="78"/>
      <c r="J96" s="78"/>
      <c r="K96" s="78"/>
      <c r="L96" s="78"/>
      <c r="M96" s="78"/>
      <c r="N96" s="78"/>
      <c r="O96" s="78"/>
      <c r="P96" s="78"/>
      <c r="Q96" s="78"/>
      <c r="R96" s="78"/>
      <c r="S96" s="78"/>
      <c r="T96" s="78"/>
      <c r="U96" s="79"/>
      <c r="V96" s="78"/>
      <c r="W96" s="78"/>
      <c r="X96" s="78"/>
      <c r="Y96" s="67"/>
      <c r="Z96" s="78"/>
      <c r="AA96" s="78"/>
      <c r="AB96" s="90"/>
      <c r="AC96" s="78"/>
      <c r="AD96" s="78"/>
      <c r="AE96" s="78"/>
      <c r="AF96" s="78"/>
      <c r="AG96" s="78"/>
      <c r="AH96" s="78"/>
      <c r="AI96" s="78"/>
    </row>
    <row r="97" spans="1:35">
      <c r="A97" s="83"/>
      <c r="B97" s="83"/>
      <c r="C97" s="83"/>
      <c r="D97" s="83"/>
      <c r="E97" s="46"/>
      <c r="F97" s="78"/>
      <c r="G97" s="78"/>
      <c r="H97" s="78"/>
      <c r="I97" s="78"/>
      <c r="J97" s="78"/>
      <c r="K97" s="78"/>
      <c r="L97" s="78"/>
      <c r="M97" s="78"/>
      <c r="N97" s="78"/>
      <c r="O97" s="78"/>
      <c r="P97" s="78"/>
      <c r="Q97" s="78"/>
      <c r="R97" s="78"/>
      <c r="S97" s="78"/>
      <c r="T97" s="78"/>
      <c r="U97" s="79"/>
      <c r="V97" s="78"/>
      <c r="W97" s="78"/>
      <c r="X97" s="78"/>
      <c r="Y97" s="67"/>
      <c r="Z97" s="78"/>
      <c r="AA97" s="78"/>
      <c r="AB97" s="90"/>
      <c r="AC97" s="78"/>
      <c r="AD97" s="78"/>
      <c r="AE97" s="78"/>
      <c r="AF97" s="78"/>
      <c r="AG97" s="78"/>
      <c r="AH97" s="78"/>
      <c r="AI97" s="78"/>
    </row>
    <row r="98" spans="1:35">
      <c r="A98" s="83"/>
      <c r="B98" s="83"/>
      <c r="C98" s="83"/>
      <c r="D98" s="83"/>
      <c r="E98" s="46"/>
      <c r="F98" s="78"/>
      <c r="G98" s="78"/>
      <c r="H98" s="78"/>
      <c r="I98" s="78"/>
      <c r="J98" s="78"/>
      <c r="K98" s="78"/>
      <c r="L98" s="78"/>
      <c r="M98" s="78"/>
      <c r="N98" s="78"/>
      <c r="O98" s="78"/>
      <c r="P98" s="78"/>
      <c r="Q98" s="78"/>
      <c r="R98" s="78"/>
      <c r="S98" s="78"/>
      <c r="T98" s="78"/>
      <c r="U98" s="79"/>
      <c r="V98" s="78"/>
      <c r="W98" s="78"/>
      <c r="X98" s="78"/>
      <c r="Y98" s="67"/>
      <c r="Z98" s="78"/>
      <c r="AA98" s="78"/>
      <c r="AB98" s="90"/>
      <c r="AC98" s="78"/>
      <c r="AD98" s="78"/>
      <c r="AE98" s="78"/>
      <c r="AF98" s="78"/>
      <c r="AG98" s="78"/>
      <c r="AH98" s="78"/>
      <c r="AI98" s="78"/>
    </row>
    <row r="99" spans="1:35">
      <c r="A99" s="83"/>
      <c r="B99" s="83"/>
      <c r="C99" s="83"/>
      <c r="D99" s="83"/>
      <c r="E99" s="46"/>
      <c r="F99" s="78"/>
      <c r="G99" s="78"/>
      <c r="H99" s="78"/>
      <c r="I99" s="78"/>
      <c r="J99" s="78"/>
      <c r="K99" s="78"/>
      <c r="L99" s="78"/>
      <c r="M99" s="78"/>
      <c r="N99" s="78"/>
      <c r="O99" s="78"/>
      <c r="P99" s="78"/>
      <c r="Q99" s="78"/>
      <c r="R99" s="78"/>
      <c r="S99" s="78"/>
      <c r="T99" s="78"/>
      <c r="U99" s="79"/>
      <c r="V99" s="78"/>
      <c r="W99" s="78"/>
      <c r="X99" s="78"/>
      <c r="Y99" s="67"/>
      <c r="Z99" s="78"/>
      <c r="AA99" s="78"/>
      <c r="AB99" s="90"/>
      <c r="AC99" s="78"/>
      <c r="AD99" s="78"/>
      <c r="AE99" s="78"/>
      <c r="AF99" s="78"/>
      <c r="AG99" s="78"/>
      <c r="AH99" s="78"/>
      <c r="AI99" s="78"/>
    </row>
    <row r="100" spans="1:35">
      <c r="A100" s="83"/>
      <c r="B100" s="83"/>
      <c r="C100" s="83"/>
      <c r="D100" s="83"/>
      <c r="E100" s="46"/>
      <c r="F100" s="78"/>
      <c r="G100" s="78"/>
      <c r="H100" s="78"/>
      <c r="I100" s="78"/>
      <c r="J100" s="78"/>
      <c r="K100" s="78"/>
      <c r="L100" s="78"/>
      <c r="M100" s="78"/>
      <c r="N100" s="78"/>
      <c r="O100" s="78"/>
      <c r="P100" s="78"/>
      <c r="Q100" s="78"/>
      <c r="R100" s="78"/>
      <c r="S100" s="78"/>
      <c r="T100" s="78"/>
      <c r="U100" s="79"/>
      <c r="V100" s="78"/>
      <c r="W100" s="78"/>
      <c r="X100" s="78"/>
      <c r="Y100" s="67"/>
      <c r="Z100" s="78"/>
      <c r="AA100" s="78"/>
      <c r="AB100" s="90"/>
      <c r="AC100" s="78"/>
      <c r="AD100" s="78"/>
      <c r="AE100" s="78"/>
      <c r="AF100" s="78"/>
      <c r="AG100" s="78"/>
      <c r="AH100" s="78"/>
      <c r="AI100" s="78"/>
    </row>
    <row r="101" spans="1:35">
      <c r="A101" s="83"/>
      <c r="B101" s="83"/>
      <c r="C101" s="83"/>
      <c r="D101" s="83"/>
      <c r="E101" s="46"/>
      <c r="F101" s="78"/>
      <c r="G101" s="78"/>
      <c r="H101" s="78"/>
      <c r="I101" s="78"/>
      <c r="J101" s="78"/>
      <c r="K101" s="78"/>
      <c r="L101" s="78"/>
      <c r="M101" s="78"/>
      <c r="N101" s="78"/>
      <c r="O101" s="78"/>
      <c r="P101" s="78"/>
      <c r="Q101" s="78"/>
      <c r="R101" s="78"/>
      <c r="S101" s="78"/>
      <c r="T101" s="78"/>
      <c r="U101" s="79"/>
      <c r="V101" s="78"/>
      <c r="W101" s="78"/>
      <c r="X101" s="78"/>
      <c r="Y101" s="67"/>
      <c r="Z101" s="78"/>
      <c r="AA101" s="78"/>
      <c r="AB101" s="90"/>
      <c r="AC101" s="78"/>
      <c r="AD101" s="78"/>
      <c r="AE101" s="78"/>
      <c r="AF101" s="78"/>
      <c r="AG101" s="78"/>
      <c r="AH101" s="78"/>
      <c r="AI101" s="78"/>
    </row>
    <row r="102" spans="1:35">
      <c r="A102" s="83"/>
      <c r="B102" s="83"/>
      <c r="C102" s="83"/>
      <c r="D102" s="83"/>
      <c r="E102" s="46"/>
      <c r="F102" s="78"/>
      <c r="G102" s="78"/>
      <c r="H102" s="78"/>
      <c r="I102" s="78"/>
      <c r="J102" s="78"/>
      <c r="K102" s="78"/>
      <c r="L102" s="78"/>
      <c r="M102" s="78"/>
      <c r="N102" s="78"/>
      <c r="O102" s="78"/>
      <c r="P102" s="78"/>
      <c r="Q102" s="78"/>
      <c r="R102" s="78"/>
      <c r="S102" s="78"/>
      <c r="T102" s="78"/>
      <c r="U102" s="79"/>
      <c r="V102" s="78"/>
      <c r="W102" s="78"/>
      <c r="X102" s="78"/>
      <c r="Y102" s="67"/>
      <c r="Z102" s="78"/>
      <c r="AA102" s="78"/>
      <c r="AB102" s="90"/>
      <c r="AC102" s="78"/>
      <c r="AD102" s="78"/>
      <c r="AE102" s="78"/>
      <c r="AF102" s="78"/>
      <c r="AG102" s="78"/>
      <c r="AH102" s="78"/>
      <c r="AI102" s="78"/>
    </row>
    <row r="103" spans="1:35">
      <c r="A103" s="83"/>
      <c r="B103" s="83"/>
      <c r="C103" s="83"/>
      <c r="D103" s="83"/>
      <c r="E103" s="46"/>
      <c r="F103" s="78"/>
      <c r="G103" s="78"/>
      <c r="H103" s="78"/>
      <c r="I103" s="78"/>
      <c r="J103" s="78"/>
      <c r="K103" s="78"/>
      <c r="L103" s="78"/>
      <c r="M103" s="78"/>
      <c r="N103" s="78"/>
      <c r="O103" s="78"/>
      <c r="P103" s="78"/>
      <c r="Q103" s="78"/>
      <c r="R103" s="78"/>
      <c r="S103" s="78"/>
      <c r="T103" s="78"/>
      <c r="U103" s="79"/>
      <c r="V103" s="78"/>
      <c r="W103" s="78"/>
      <c r="X103" s="78"/>
      <c r="Y103" s="67"/>
      <c r="Z103" s="78"/>
      <c r="AA103" s="78"/>
      <c r="AB103" s="90"/>
      <c r="AC103" s="78"/>
      <c r="AD103" s="78"/>
      <c r="AE103" s="78"/>
      <c r="AF103" s="78"/>
      <c r="AG103" s="78"/>
      <c r="AH103" s="78"/>
      <c r="AI103" s="78"/>
    </row>
    <row r="104" spans="1:35">
      <c r="A104" s="83"/>
      <c r="B104" s="83"/>
      <c r="C104" s="83"/>
      <c r="D104" s="83"/>
      <c r="E104" s="46"/>
      <c r="F104" s="78"/>
      <c r="G104" s="78"/>
      <c r="H104" s="78"/>
      <c r="I104" s="78"/>
      <c r="J104" s="78"/>
      <c r="K104" s="78"/>
      <c r="L104" s="78"/>
      <c r="M104" s="78"/>
      <c r="N104" s="78"/>
      <c r="O104" s="78"/>
      <c r="P104" s="78"/>
      <c r="Q104" s="78"/>
      <c r="R104" s="78"/>
      <c r="S104" s="78"/>
      <c r="T104" s="78"/>
      <c r="U104" s="79"/>
      <c r="V104" s="78"/>
      <c r="W104" s="78"/>
      <c r="X104" s="78"/>
      <c r="Y104" s="67"/>
      <c r="Z104" s="78"/>
      <c r="AA104" s="78"/>
      <c r="AB104" s="90"/>
      <c r="AC104" s="78"/>
      <c r="AD104" s="78"/>
      <c r="AE104" s="78"/>
      <c r="AF104" s="78"/>
      <c r="AG104" s="78"/>
      <c r="AH104" s="78"/>
      <c r="AI104" s="78"/>
    </row>
    <row r="105" spans="1:35">
      <c r="A105" s="83"/>
      <c r="B105" s="83"/>
      <c r="C105" s="83"/>
      <c r="D105" s="83"/>
      <c r="E105" s="46"/>
      <c r="F105" s="78"/>
      <c r="G105" s="78"/>
      <c r="H105" s="78"/>
      <c r="I105" s="78"/>
      <c r="J105" s="78"/>
      <c r="K105" s="78"/>
      <c r="L105" s="78"/>
      <c r="M105" s="78"/>
      <c r="N105" s="78"/>
      <c r="O105" s="78"/>
      <c r="P105" s="78"/>
      <c r="Q105" s="78"/>
      <c r="R105" s="78"/>
      <c r="S105" s="78"/>
      <c r="T105" s="78"/>
      <c r="U105" s="79"/>
      <c r="V105" s="78"/>
      <c r="W105" s="78"/>
      <c r="X105" s="78"/>
      <c r="Y105" s="67"/>
      <c r="Z105" s="78"/>
      <c r="AA105" s="78"/>
      <c r="AB105" s="90"/>
      <c r="AC105" s="78"/>
      <c r="AD105" s="78"/>
      <c r="AE105" s="78"/>
      <c r="AF105" s="78"/>
      <c r="AG105" s="78"/>
      <c r="AH105" s="78"/>
      <c r="AI105" s="78"/>
    </row>
    <row r="106" spans="1:35">
      <c r="A106" s="83"/>
      <c r="B106" s="83"/>
      <c r="C106" s="83"/>
      <c r="D106" s="83"/>
      <c r="E106" s="46"/>
      <c r="F106" s="78"/>
      <c r="G106" s="78"/>
      <c r="H106" s="78"/>
      <c r="I106" s="78"/>
      <c r="J106" s="78"/>
      <c r="K106" s="78"/>
      <c r="L106" s="78"/>
      <c r="M106" s="78"/>
      <c r="N106" s="78"/>
      <c r="O106" s="78"/>
      <c r="P106" s="78"/>
      <c r="Q106" s="78"/>
      <c r="R106" s="78"/>
      <c r="S106" s="78"/>
      <c r="T106" s="78"/>
      <c r="U106" s="79"/>
      <c r="V106" s="78"/>
      <c r="W106" s="78"/>
      <c r="X106" s="78"/>
      <c r="Y106" s="67"/>
      <c r="Z106" s="78"/>
      <c r="AA106" s="78"/>
      <c r="AB106" s="90"/>
      <c r="AC106" s="78"/>
      <c r="AD106" s="78"/>
      <c r="AE106" s="78"/>
      <c r="AF106" s="78"/>
      <c r="AG106" s="78"/>
      <c r="AH106" s="78"/>
      <c r="AI106" s="78"/>
    </row>
    <row r="107" spans="1:35">
      <c r="A107" s="83"/>
      <c r="B107" s="83"/>
      <c r="C107" s="83"/>
      <c r="D107" s="83"/>
      <c r="E107" s="46"/>
      <c r="F107" s="78"/>
      <c r="G107" s="78"/>
      <c r="H107" s="78"/>
      <c r="I107" s="78"/>
      <c r="J107" s="78"/>
      <c r="K107" s="78"/>
      <c r="L107" s="78"/>
      <c r="M107" s="78"/>
      <c r="N107" s="78"/>
      <c r="O107" s="78"/>
      <c r="P107" s="78"/>
      <c r="Q107" s="78"/>
      <c r="R107" s="78"/>
      <c r="S107" s="78"/>
      <c r="T107" s="78"/>
      <c r="U107" s="79"/>
      <c r="V107" s="78"/>
      <c r="W107" s="78"/>
      <c r="X107" s="78"/>
      <c r="Y107" s="67"/>
      <c r="Z107" s="78"/>
      <c r="AA107" s="78"/>
      <c r="AB107" s="90"/>
      <c r="AC107" s="78"/>
      <c r="AD107" s="78"/>
      <c r="AE107" s="78"/>
      <c r="AF107" s="78"/>
      <c r="AG107" s="78"/>
      <c r="AH107" s="78"/>
      <c r="AI107" s="78"/>
    </row>
    <row r="108" spans="1:35">
      <c r="A108" s="83"/>
      <c r="B108" s="83"/>
      <c r="C108" s="83"/>
      <c r="D108" s="83"/>
      <c r="E108" s="46"/>
      <c r="F108" s="78"/>
      <c r="G108" s="78"/>
      <c r="H108" s="78"/>
      <c r="I108" s="78"/>
      <c r="J108" s="78"/>
      <c r="K108" s="78"/>
      <c r="L108" s="78"/>
      <c r="M108" s="78"/>
      <c r="N108" s="78"/>
      <c r="O108" s="78"/>
      <c r="P108" s="78"/>
      <c r="Q108" s="78"/>
      <c r="R108" s="78"/>
      <c r="S108" s="78"/>
      <c r="T108" s="78"/>
      <c r="U108" s="79"/>
      <c r="V108" s="78"/>
      <c r="W108" s="78"/>
      <c r="X108" s="78"/>
      <c r="Y108" s="67"/>
      <c r="Z108" s="78"/>
      <c r="AA108" s="78"/>
      <c r="AB108" s="90"/>
      <c r="AC108" s="78"/>
      <c r="AD108" s="78"/>
      <c r="AE108" s="78"/>
      <c r="AF108" s="78"/>
      <c r="AG108" s="78"/>
      <c r="AH108" s="78"/>
      <c r="AI108" s="78"/>
    </row>
    <row r="109" spans="1:35">
      <c r="A109" s="83"/>
      <c r="B109" s="83"/>
      <c r="C109" s="83"/>
      <c r="D109" s="83"/>
      <c r="E109" s="46"/>
      <c r="F109" s="78"/>
      <c r="G109" s="78"/>
      <c r="H109" s="78"/>
      <c r="I109" s="78"/>
      <c r="J109" s="78"/>
      <c r="K109" s="78"/>
      <c r="L109" s="78"/>
      <c r="M109" s="78"/>
      <c r="N109" s="78"/>
      <c r="O109" s="78"/>
      <c r="P109" s="78"/>
      <c r="Q109" s="78"/>
      <c r="R109" s="78"/>
      <c r="S109" s="78"/>
      <c r="T109" s="78"/>
      <c r="U109" s="79"/>
      <c r="V109" s="78"/>
      <c r="W109" s="78"/>
      <c r="X109" s="78"/>
      <c r="Y109" s="67"/>
      <c r="Z109" s="78"/>
      <c r="AA109" s="78"/>
      <c r="AB109" s="90"/>
      <c r="AC109" s="78"/>
      <c r="AD109" s="78"/>
      <c r="AE109" s="78"/>
      <c r="AF109" s="78"/>
      <c r="AG109" s="78"/>
      <c r="AH109" s="78"/>
      <c r="AI109" s="78"/>
    </row>
    <row r="110" spans="1:35">
      <c r="A110" s="83"/>
      <c r="B110" s="83"/>
      <c r="C110" s="83"/>
      <c r="D110" s="83"/>
      <c r="E110" s="46"/>
      <c r="F110" s="78"/>
      <c r="G110" s="78"/>
      <c r="H110" s="78"/>
      <c r="I110" s="78"/>
      <c r="J110" s="78"/>
      <c r="K110" s="78"/>
      <c r="L110" s="78"/>
      <c r="M110" s="78"/>
      <c r="N110" s="78"/>
      <c r="O110" s="78"/>
      <c r="P110" s="78"/>
      <c r="Q110" s="78"/>
      <c r="R110" s="78"/>
      <c r="S110" s="78"/>
      <c r="T110" s="78"/>
      <c r="U110" s="79"/>
      <c r="V110" s="78"/>
      <c r="W110" s="78"/>
      <c r="X110" s="78"/>
      <c r="Y110" s="67"/>
      <c r="Z110" s="78"/>
      <c r="AA110" s="78"/>
      <c r="AB110" s="90"/>
      <c r="AC110" s="78"/>
      <c r="AD110" s="78"/>
      <c r="AE110" s="78"/>
      <c r="AF110" s="78"/>
      <c r="AG110" s="78"/>
      <c r="AH110" s="78"/>
      <c r="AI110" s="78"/>
    </row>
    <row r="111" spans="1:35">
      <c r="A111" s="83"/>
      <c r="B111" s="83"/>
      <c r="C111" s="83"/>
      <c r="D111" s="83"/>
      <c r="E111" s="46"/>
      <c r="F111" s="78"/>
      <c r="G111" s="78"/>
      <c r="H111" s="78"/>
      <c r="I111" s="78"/>
      <c r="J111" s="78"/>
      <c r="K111" s="78"/>
      <c r="L111" s="78"/>
      <c r="M111" s="78"/>
      <c r="N111" s="78"/>
      <c r="O111" s="78"/>
      <c r="P111" s="78"/>
      <c r="Q111" s="78"/>
      <c r="R111" s="78"/>
      <c r="S111" s="78"/>
      <c r="T111" s="78"/>
      <c r="U111" s="79"/>
      <c r="V111" s="78"/>
      <c r="W111" s="78"/>
      <c r="X111" s="78"/>
      <c r="Y111" s="67"/>
      <c r="Z111" s="78"/>
      <c r="AA111" s="78"/>
      <c r="AB111" s="90"/>
      <c r="AC111" s="78"/>
      <c r="AD111" s="78"/>
      <c r="AE111" s="78"/>
      <c r="AF111" s="78"/>
      <c r="AG111" s="78"/>
      <c r="AH111" s="78"/>
      <c r="AI111" s="78"/>
    </row>
    <row r="112" spans="1:35">
      <c r="A112" s="83"/>
      <c r="B112" s="83"/>
      <c r="C112" s="83"/>
      <c r="D112" s="83"/>
      <c r="E112" s="46"/>
      <c r="F112" s="78"/>
      <c r="G112" s="78"/>
      <c r="H112" s="78"/>
      <c r="I112" s="78"/>
      <c r="J112" s="78"/>
      <c r="K112" s="78"/>
      <c r="L112" s="78"/>
      <c r="M112" s="78"/>
      <c r="N112" s="78"/>
      <c r="O112" s="78"/>
      <c r="P112" s="78"/>
      <c r="Q112" s="78"/>
      <c r="R112" s="78"/>
      <c r="S112" s="78"/>
      <c r="T112" s="78"/>
      <c r="U112" s="79"/>
      <c r="V112" s="78"/>
      <c r="W112" s="78"/>
      <c r="X112" s="78"/>
      <c r="Y112" s="67"/>
      <c r="Z112" s="78"/>
      <c r="AA112" s="78"/>
      <c r="AB112" s="90"/>
      <c r="AC112" s="78"/>
      <c r="AD112" s="78"/>
      <c r="AE112" s="78"/>
      <c r="AF112" s="78"/>
      <c r="AG112" s="78"/>
      <c r="AH112" s="78"/>
      <c r="AI112" s="78"/>
    </row>
    <row r="113" spans="1:35">
      <c r="A113" s="83"/>
      <c r="B113" s="83"/>
      <c r="C113" s="83"/>
      <c r="D113" s="83"/>
      <c r="E113" s="46"/>
      <c r="F113" s="78"/>
      <c r="G113" s="78"/>
      <c r="H113" s="78"/>
      <c r="I113" s="78"/>
      <c r="J113" s="78"/>
      <c r="K113" s="83"/>
      <c r="L113" s="84"/>
      <c r="M113" s="84"/>
      <c r="N113" s="84"/>
      <c r="O113" s="84"/>
      <c r="P113" s="78"/>
      <c r="Q113" s="78"/>
      <c r="R113" s="78"/>
      <c r="S113" s="78"/>
      <c r="T113" s="78"/>
      <c r="U113" s="79"/>
      <c r="V113" s="78"/>
      <c r="W113" s="78"/>
      <c r="X113" s="78"/>
      <c r="Y113" s="67"/>
      <c r="Z113" s="78"/>
      <c r="AA113" s="78"/>
      <c r="AB113" s="90"/>
      <c r="AC113" s="78"/>
      <c r="AD113" s="78"/>
      <c r="AE113" s="78"/>
      <c r="AF113" s="78"/>
      <c r="AG113" s="78"/>
      <c r="AH113" s="78"/>
      <c r="AI113" s="78"/>
    </row>
    <row r="114" spans="1:35">
      <c r="A114" s="83"/>
      <c r="B114" s="83"/>
      <c r="C114" s="83"/>
      <c r="D114" s="83"/>
      <c r="E114" s="46"/>
      <c r="F114" s="78"/>
      <c r="G114" s="78"/>
      <c r="H114" s="78"/>
      <c r="I114" s="78"/>
      <c r="J114" s="78"/>
      <c r="K114" s="83"/>
      <c r="L114" s="84"/>
      <c r="M114" s="84"/>
      <c r="N114" s="84"/>
      <c r="O114" s="84"/>
      <c r="P114" s="78"/>
      <c r="Q114" s="78"/>
      <c r="R114" s="78"/>
      <c r="S114" s="78"/>
      <c r="T114" s="78"/>
      <c r="U114" s="79"/>
      <c r="V114" s="78"/>
      <c r="W114" s="78"/>
      <c r="X114" s="78"/>
      <c r="Y114" s="67"/>
      <c r="Z114" s="78"/>
      <c r="AA114" s="78"/>
      <c r="AB114" s="90"/>
      <c r="AC114" s="78"/>
      <c r="AD114" s="78"/>
      <c r="AE114" s="78"/>
      <c r="AF114" s="78"/>
      <c r="AG114" s="78"/>
      <c r="AH114" s="78"/>
      <c r="AI114" s="78"/>
    </row>
    <row r="115" spans="1:35">
      <c r="A115" s="83"/>
      <c r="B115" s="83"/>
      <c r="C115" s="83"/>
      <c r="D115" s="83"/>
      <c r="E115" s="46"/>
      <c r="F115" s="78"/>
      <c r="G115" s="78"/>
      <c r="H115" s="78"/>
      <c r="I115" s="78"/>
      <c r="J115" s="78"/>
      <c r="K115" s="83"/>
      <c r="L115" s="86"/>
      <c r="M115" s="86"/>
      <c r="N115" s="86"/>
      <c r="O115" s="86"/>
      <c r="P115" s="78"/>
      <c r="Q115" s="78"/>
      <c r="R115" s="78"/>
      <c r="S115" s="78"/>
      <c r="T115" s="78"/>
      <c r="U115" s="79"/>
      <c r="V115" s="78"/>
      <c r="W115" s="78"/>
      <c r="X115" s="78"/>
      <c r="Y115" s="67"/>
      <c r="Z115" s="78"/>
      <c r="AA115" s="78"/>
      <c r="AB115" s="90"/>
      <c r="AC115" s="78"/>
      <c r="AD115" s="78"/>
      <c r="AE115" s="78"/>
      <c r="AF115" s="78"/>
      <c r="AG115" s="78"/>
      <c r="AH115" s="78"/>
      <c r="AI115" s="78"/>
    </row>
    <row r="116" spans="1:35">
      <c r="A116" s="83"/>
      <c r="B116" s="83"/>
      <c r="C116" s="83"/>
      <c r="D116" s="83"/>
      <c r="E116" s="46"/>
      <c r="F116" s="78"/>
      <c r="G116" s="78"/>
      <c r="H116" s="78"/>
      <c r="I116" s="78"/>
      <c r="J116" s="78"/>
      <c r="K116" s="83"/>
      <c r="L116" s="86"/>
      <c r="M116" s="86"/>
      <c r="N116" s="86"/>
      <c r="O116" s="86"/>
      <c r="P116" s="78"/>
      <c r="Q116" s="78"/>
      <c r="R116" s="78"/>
      <c r="S116" s="78"/>
      <c r="T116" s="78"/>
      <c r="U116" s="79"/>
      <c r="V116" s="78"/>
      <c r="W116" s="78"/>
      <c r="X116" s="78"/>
      <c r="Y116" s="67"/>
      <c r="Z116" s="78"/>
      <c r="AA116" s="78"/>
      <c r="AB116" s="90"/>
      <c r="AC116" s="78"/>
      <c r="AD116" s="78"/>
      <c r="AE116" s="78"/>
      <c r="AF116" s="78"/>
      <c r="AG116" s="78"/>
      <c r="AH116" s="78"/>
      <c r="AI116" s="78"/>
    </row>
    <row r="117" spans="1:35">
      <c r="A117" s="83"/>
      <c r="B117" s="83"/>
      <c r="C117" s="83"/>
      <c r="D117" s="83"/>
      <c r="E117" s="46"/>
      <c r="F117" s="78"/>
      <c r="G117" s="78"/>
      <c r="H117" s="78"/>
      <c r="I117" s="78"/>
      <c r="J117" s="78"/>
      <c r="K117" s="83"/>
      <c r="L117" s="84"/>
      <c r="M117" s="84"/>
      <c r="N117" s="84"/>
      <c r="O117" s="84"/>
      <c r="P117" s="78"/>
      <c r="Q117" s="78"/>
      <c r="R117" s="78"/>
      <c r="S117" s="78"/>
      <c r="T117" s="78"/>
      <c r="U117" s="79"/>
      <c r="V117" s="78"/>
      <c r="W117" s="78"/>
      <c r="X117" s="78"/>
      <c r="Y117" s="67"/>
      <c r="Z117" s="78"/>
      <c r="AA117" s="78"/>
      <c r="AB117" s="90"/>
      <c r="AC117" s="78"/>
      <c r="AD117" s="78"/>
      <c r="AE117" s="78"/>
      <c r="AF117" s="78"/>
      <c r="AG117" s="78"/>
      <c r="AH117" s="78"/>
      <c r="AI117" s="78"/>
    </row>
    <row r="118" spans="1:35">
      <c r="A118" s="83"/>
      <c r="B118" s="83"/>
      <c r="C118" s="83"/>
      <c r="D118" s="83"/>
      <c r="E118" s="46"/>
      <c r="F118" s="78"/>
      <c r="G118" s="78"/>
      <c r="H118" s="78"/>
      <c r="I118" s="78"/>
      <c r="J118" s="78"/>
      <c r="K118" s="83"/>
      <c r="L118" s="86"/>
      <c r="M118" s="86"/>
      <c r="N118" s="86"/>
      <c r="O118" s="86"/>
      <c r="P118" s="78"/>
      <c r="Q118" s="78"/>
      <c r="R118" s="78"/>
      <c r="S118" s="78"/>
      <c r="T118" s="78"/>
      <c r="U118" s="79"/>
      <c r="V118" s="78"/>
      <c r="W118" s="78"/>
      <c r="X118" s="78"/>
      <c r="Y118" s="67"/>
      <c r="Z118" s="78"/>
      <c r="AA118" s="78"/>
      <c r="AB118" s="90"/>
      <c r="AC118" s="78"/>
      <c r="AD118" s="78"/>
      <c r="AE118" s="78"/>
      <c r="AF118" s="78"/>
      <c r="AG118" s="78"/>
      <c r="AH118" s="78"/>
      <c r="AI118" s="78"/>
    </row>
    <row r="119" spans="1:35">
      <c r="A119" s="83"/>
      <c r="B119" s="83"/>
      <c r="C119" s="83"/>
      <c r="D119" s="83"/>
      <c r="E119" s="46"/>
      <c r="F119" s="78"/>
      <c r="G119" s="78"/>
      <c r="H119" s="78"/>
      <c r="I119" s="78"/>
      <c r="J119" s="78"/>
      <c r="K119" s="83"/>
      <c r="L119" s="84"/>
      <c r="M119" s="84"/>
      <c r="N119" s="84"/>
      <c r="O119" s="84"/>
      <c r="P119" s="78"/>
      <c r="Q119" s="78"/>
      <c r="R119" s="78"/>
      <c r="S119" s="78"/>
      <c r="T119" s="78"/>
      <c r="U119" s="79"/>
      <c r="V119" s="78"/>
      <c r="W119" s="78"/>
      <c r="X119" s="78"/>
      <c r="Y119" s="67"/>
      <c r="Z119" s="78"/>
      <c r="AA119" s="78"/>
      <c r="AB119" s="90"/>
      <c r="AC119" s="78"/>
      <c r="AD119" s="78"/>
      <c r="AE119" s="78"/>
      <c r="AF119" s="78"/>
      <c r="AG119" s="78"/>
      <c r="AH119" s="78"/>
      <c r="AI119" s="78"/>
    </row>
    <row r="120" spans="1:35">
      <c r="A120" s="83"/>
      <c r="B120" s="83"/>
      <c r="C120" s="83"/>
      <c r="D120" s="83"/>
      <c r="E120" s="46"/>
      <c r="F120" s="78"/>
      <c r="G120" s="78"/>
      <c r="H120" s="78"/>
      <c r="I120" s="78"/>
      <c r="J120" s="78"/>
      <c r="K120" s="83"/>
      <c r="L120" s="86"/>
      <c r="M120" s="86"/>
      <c r="N120" s="86"/>
      <c r="O120" s="86"/>
      <c r="P120" s="78"/>
      <c r="Q120" s="78"/>
      <c r="R120" s="78"/>
      <c r="S120" s="78"/>
      <c r="T120" s="78"/>
      <c r="U120" s="79"/>
      <c r="V120" s="78"/>
      <c r="W120" s="78"/>
      <c r="X120" s="78"/>
      <c r="Y120" s="67"/>
      <c r="Z120" s="78"/>
      <c r="AA120" s="78"/>
      <c r="AB120" s="78"/>
      <c r="AC120" s="78"/>
      <c r="AD120" s="78"/>
      <c r="AE120" s="78"/>
      <c r="AF120" s="78"/>
      <c r="AG120" s="78"/>
      <c r="AH120" s="78"/>
      <c r="AI120" s="78"/>
    </row>
    <row r="121" spans="1:35">
      <c r="A121" s="83"/>
      <c r="B121" s="83"/>
      <c r="C121" s="83"/>
      <c r="D121" s="83"/>
      <c r="E121" s="46"/>
      <c r="F121" s="78"/>
      <c r="G121" s="78"/>
      <c r="H121" s="78"/>
      <c r="I121" s="78"/>
      <c r="J121" s="78"/>
      <c r="K121" s="83"/>
      <c r="L121" s="86"/>
      <c r="M121" s="86"/>
      <c r="N121" s="86"/>
      <c r="O121" s="86"/>
      <c r="P121" s="78"/>
      <c r="Q121" s="78"/>
      <c r="R121" s="78"/>
      <c r="S121" s="78"/>
      <c r="T121" s="78"/>
      <c r="U121" s="79"/>
      <c r="V121" s="78"/>
      <c r="W121" s="78"/>
      <c r="X121" s="78"/>
      <c r="Y121" s="67"/>
      <c r="Z121" s="78"/>
      <c r="AA121" s="78"/>
      <c r="AB121" s="78"/>
      <c r="AC121" s="78"/>
      <c r="AD121" s="78"/>
      <c r="AE121" s="78"/>
      <c r="AF121" s="78"/>
      <c r="AG121" s="78"/>
      <c r="AH121" s="78"/>
      <c r="AI121" s="78"/>
    </row>
    <row r="122" spans="1:35">
      <c r="A122" s="83"/>
      <c r="B122" s="83"/>
      <c r="C122" s="83"/>
      <c r="D122" s="83"/>
      <c r="E122" s="46"/>
      <c r="F122" s="78"/>
      <c r="G122" s="78"/>
      <c r="H122" s="78"/>
      <c r="I122" s="78"/>
      <c r="J122" s="78"/>
      <c r="K122" s="83"/>
      <c r="L122" s="84"/>
      <c r="M122" s="84"/>
      <c r="N122" s="84"/>
      <c r="O122" s="84"/>
      <c r="P122" s="78"/>
      <c r="Q122" s="78"/>
      <c r="R122" s="78"/>
      <c r="S122" s="78"/>
      <c r="T122" s="78"/>
      <c r="U122" s="79"/>
      <c r="V122" s="78"/>
      <c r="W122" s="78"/>
      <c r="X122" s="78"/>
      <c r="Y122" s="67"/>
      <c r="Z122" s="78"/>
      <c r="AA122" s="78"/>
      <c r="AB122" s="78"/>
      <c r="AC122" s="78"/>
      <c r="AD122" s="78"/>
      <c r="AE122" s="78"/>
      <c r="AF122" s="78"/>
      <c r="AG122" s="78"/>
      <c r="AH122" s="78"/>
      <c r="AI122" s="78"/>
    </row>
    <row r="123" spans="1:35">
      <c r="A123" s="83"/>
      <c r="B123" s="83"/>
      <c r="C123" s="83"/>
      <c r="D123" s="83"/>
      <c r="E123" s="46"/>
      <c r="F123" s="78"/>
      <c r="G123" s="78"/>
      <c r="H123" s="78"/>
      <c r="I123" s="78"/>
      <c r="J123" s="78"/>
      <c r="K123" s="83"/>
      <c r="L123" s="84"/>
      <c r="M123" s="84"/>
      <c r="N123" s="84"/>
      <c r="O123" s="84"/>
      <c r="P123" s="78"/>
      <c r="Q123" s="78"/>
      <c r="R123" s="78"/>
      <c r="S123" s="78"/>
      <c r="T123" s="78"/>
      <c r="U123" s="79"/>
      <c r="V123" s="78"/>
      <c r="W123" s="78"/>
      <c r="X123" s="78"/>
      <c r="Y123" s="67"/>
      <c r="Z123" s="78"/>
      <c r="AA123" s="78"/>
      <c r="AB123" s="78"/>
      <c r="AC123" s="78"/>
      <c r="AD123" s="78"/>
      <c r="AE123" s="78"/>
      <c r="AF123" s="78"/>
      <c r="AG123" s="78"/>
      <c r="AH123" s="78"/>
      <c r="AI123" s="78"/>
    </row>
    <row r="124" spans="1:35">
      <c r="A124" s="83"/>
      <c r="B124" s="83"/>
      <c r="C124" s="83"/>
      <c r="D124" s="83"/>
      <c r="E124" s="46"/>
      <c r="F124" s="78"/>
      <c r="G124" s="78"/>
      <c r="H124" s="78"/>
      <c r="I124" s="78"/>
      <c r="J124" s="78"/>
      <c r="K124" s="83"/>
      <c r="L124" s="84"/>
      <c r="M124" s="84"/>
      <c r="N124" s="84"/>
      <c r="O124" s="84"/>
      <c r="P124" s="78"/>
      <c r="Q124" s="78"/>
      <c r="R124" s="78"/>
      <c r="S124" s="78"/>
      <c r="T124" s="78"/>
      <c r="U124" s="79"/>
      <c r="V124" s="78"/>
      <c r="W124" s="78"/>
      <c r="X124" s="78"/>
      <c r="Y124" s="67"/>
      <c r="Z124" s="78"/>
      <c r="AA124" s="78"/>
      <c r="AB124" s="78"/>
      <c r="AC124" s="78"/>
      <c r="AD124" s="78"/>
      <c r="AE124" s="78"/>
      <c r="AF124" s="78"/>
      <c r="AG124" s="78"/>
      <c r="AH124" s="78"/>
      <c r="AI124" s="78"/>
    </row>
    <row r="125" spans="1:35">
      <c r="A125" s="83"/>
      <c r="B125" s="83"/>
      <c r="C125" s="83"/>
      <c r="D125" s="83"/>
      <c r="E125" s="46"/>
      <c r="F125" s="78"/>
      <c r="G125" s="78"/>
      <c r="H125" s="78"/>
      <c r="I125" s="78"/>
      <c r="J125" s="78"/>
      <c r="K125" s="83"/>
      <c r="L125" s="84"/>
      <c r="M125" s="84"/>
      <c r="N125" s="84"/>
      <c r="O125" s="84"/>
      <c r="P125" s="78"/>
      <c r="Q125" s="78"/>
      <c r="R125" s="78"/>
      <c r="S125" s="78"/>
      <c r="T125" s="78"/>
      <c r="U125" s="79"/>
      <c r="V125" s="78"/>
      <c r="W125" s="78"/>
      <c r="X125" s="78"/>
      <c r="Y125" s="67"/>
      <c r="Z125" s="78"/>
      <c r="AA125" s="78"/>
      <c r="AB125" s="78"/>
      <c r="AC125" s="78"/>
      <c r="AD125" s="78"/>
      <c r="AE125" s="78"/>
      <c r="AF125" s="78"/>
      <c r="AG125" s="78"/>
      <c r="AH125" s="78"/>
      <c r="AI125" s="78"/>
    </row>
    <row r="126" spans="1:35">
      <c r="A126" s="83"/>
      <c r="B126" s="83"/>
      <c r="C126" s="83"/>
      <c r="D126" s="83"/>
      <c r="E126" s="46"/>
      <c r="F126" s="78"/>
      <c r="G126" s="78"/>
      <c r="H126" s="78"/>
      <c r="I126" s="78"/>
      <c r="J126" s="78"/>
      <c r="K126" s="83"/>
      <c r="L126" s="86"/>
      <c r="M126" s="86"/>
      <c r="N126" s="86"/>
      <c r="O126" s="86"/>
      <c r="P126" s="78"/>
      <c r="Q126" s="78"/>
      <c r="R126" s="78"/>
      <c r="S126" s="78"/>
      <c r="T126" s="78"/>
      <c r="U126" s="79"/>
      <c r="V126" s="78"/>
      <c r="W126" s="78"/>
      <c r="X126" s="78"/>
      <c r="Y126" s="67"/>
      <c r="Z126" s="78"/>
      <c r="AA126" s="78"/>
      <c r="AB126" s="78"/>
      <c r="AC126" s="78"/>
      <c r="AD126" s="78"/>
      <c r="AE126" s="78"/>
      <c r="AF126" s="78"/>
      <c r="AG126" s="78"/>
      <c r="AH126" s="78"/>
      <c r="AI126" s="78"/>
    </row>
    <row r="127" spans="1:35">
      <c r="A127" s="83"/>
      <c r="B127" s="83"/>
      <c r="C127" s="83"/>
      <c r="D127" s="83"/>
      <c r="E127" s="46"/>
      <c r="F127" s="78"/>
      <c r="G127" s="78"/>
      <c r="H127" s="78"/>
      <c r="I127" s="78"/>
      <c r="J127" s="78"/>
      <c r="K127" s="83"/>
      <c r="L127" s="86"/>
      <c r="M127" s="86"/>
      <c r="N127" s="86"/>
      <c r="O127" s="86"/>
      <c r="P127" s="78"/>
      <c r="Q127" s="78"/>
      <c r="R127" s="78"/>
      <c r="S127" s="78"/>
      <c r="T127" s="78"/>
      <c r="U127" s="79"/>
      <c r="V127" s="78"/>
      <c r="W127" s="78"/>
      <c r="X127" s="78"/>
      <c r="Y127" s="67"/>
      <c r="Z127" s="78"/>
      <c r="AA127" s="78"/>
      <c r="AB127" s="78"/>
      <c r="AC127" s="78"/>
      <c r="AD127" s="78"/>
      <c r="AE127" s="78"/>
      <c r="AF127" s="78"/>
      <c r="AG127" s="78"/>
      <c r="AH127" s="78"/>
      <c r="AI127" s="78"/>
    </row>
    <row r="128" spans="1:35">
      <c r="A128" s="83"/>
      <c r="B128" s="83"/>
      <c r="C128" s="83"/>
      <c r="D128" s="83"/>
      <c r="E128" s="46"/>
      <c r="F128" s="78"/>
      <c r="G128" s="78"/>
      <c r="H128" s="78"/>
      <c r="I128" s="78"/>
      <c r="J128" s="78"/>
      <c r="K128" s="83"/>
      <c r="L128" s="86"/>
      <c r="M128" s="86"/>
      <c r="N128" s="86"/>
      <c r="O128" s="86"/>
      <c r="P128" s="78"/>
      <c r="Q128" s="78"/>
      <c r="R128" s="78"/>
      <c r="S128" s="78"/>
      <c r="T128" s="78"/>
      <c r="U128" s="79"/>
      <c r="V128" s="78"/>
      <c r="W128" s="78"/>
      <c r="X128" s="78"/>
      <c r="Y128" s="67"/>
      <c r="Z128" s="78"/>
      <c r="AA128" s="78"/>
      <c r="AB128" s="78"/>
      <c r="AC128" s="78"/>
      <c r="AD128" s="78"/>
      <c r="AE128" s="78"/>
      <c r="AF128" s="78"/>
      <c r="AG128" s="78"/>
      <c r="AH128" s="78"/>
      <c r="AI128" s="78"/>
    </row>
    <row r="129" spans="1:35">
      <c r="A129" s="83"/>
      <c r="B129" s="83"/>
      <c r="C129" s="83"/>
      <c r="D129" s="83"/>
      <c r="E129" s="46"/>
      <c r="F129" s="78"/>
      <c r="G129" s="78"/>
      <c r="H129" s="78"/>
      <c r="I129" s="78"/>
      <c r="J129" s="78"/>
      <c r="K129" s="83"/>
      <c r="L129" s="84"/>
      <c r="M129" s="84"/>
      <c r="N129" s="84"/>
      <c r="O129" s="84"/>
      <c r="P129" s="78"/>
      <c r="Q129" s="78"/>
      <c r="R129" s="78"/>
      <c r="S129" s="78"/>
      <c r="T129" s="78"/>
      <c r="U129" s="79"/>
      <c r="V129" s="78"/>
      <c r="W129" s="78"/>
      <c r="X129" s="78"/>
      <c r="Y129" s="67"/>
      <c r="Z129" s="78"/>
      <c r="AA129" s="78"/>
      <c r="AB129" s="78"/>
      <c r="AC129" s="78"/>
      <c r="AD129" s="78"/>
      <c r="AE129" s="78"/>
      <c r="AF129" s="78"/>
      <c r="AG129" s="78"/>
      <c r="AH129" s="78"/>
      <c r="AI129" s="78"/>
    </row>
    <row r="130" spans="1:35">
      <c r="A130" s="83"/>
      <c r="B130" s="83"/>
      <c r="C130" s="83"/>
      <c r="D130" s="83"/>
      <c r="E130" s="46"/>
      <c r="F130" s="78"/>
      <c r="G130" s="78"/>
      <c r="H130" s="78"/>
      <c r="I130" s="78"/>
      <c r="J130" s="78"/>
      <c r="K130" s="83"/>
      <c r="L130" s="84"/>
      <c r="M130" s="84"/>
      <c r="N130" s="84"/>
      <c r="O130" s="84"/>
      <c r="P130" s="78"/>
      <c r="Q130" s="78"/>
      <c r="R130" s="78"/>
      <c r="S130" s="78"/>
      <c r="T130" s="78"/>
      <c r="U130" s="79"/>
      <c r="V130" s="78"/>
      <c r="W130" s="78"/>
      <c r="X130" s="78"/>
      <c r="Y130" s="67"/>
      <c r="Z130" s="78"/>
      <c r="AA130" s="78"/>
      <c r="AB130" s="78"/>
      <c r="AC130" s="78"/>
      <c r="AD130" s="78"/>
      <c r="AE130" s="78"/>
      <c r="AF130" s="78"/>
      <c r="AG130" s="78"/>
      <c r="AH130" s="78"/>
      <c r="AI130" s="78"/>
    </row>
    <row r="131" spans="1:35">
      <c r="A131" s="83"/>
      <c r="B131" s="83"/>
      <c r="C131" s="83"/>
      <c r="D131" s="83"/>
      <c r="E131" s="46"/>
      <c r="F131" s="78"/>
      <c r="G131" s="78"/>
      <c r="H131" s="78"/>
      <c r="I131" s="78"/>
      <c r="J131" s="78"/>
      <c r="K131" s="83"/>
      <c r="L131" s="86"/>
      <c r="M131" s="86"/>
      <c r="N131" s="86"/>
      <c r="O131" s="86"/>
      <c r="P131" s="78"/>
      <c r="Q131" s="78"/>
      <c r="R131" s="78"/>
      <c r="S131" s="78"/>
      <c r="T131" s="78"/>
      <c r="U131" s="79"/>
      <c r="V131" s="78"/>
      <c r="W131" s="78"/>
      <c r="X131" s="78"/>
      <c r="Y131" s="67"/>
      <c r="Z131" s="78"/>
      <c r="AA131" s="78"/>
      <c r="AB131" s="78"/>
      <c r="AC131" s="78"/>
      <c r="AD131" s="78"/>
      <c r="AE131" s="78"/>
      <c r="AF131" s="78"/>
      <c r="AG131" s="78"/>
      <c r="AH131" s="78"/>
      <c r="AI131" s="78"/>
    </row>
    <row r="132" spans="1:35">
      <c r="A132" s="83"/>
      <c r="B132" s="83"/>
      <c r="C132" s="83"/>
      <c r="D132" s="83"/>
      <c r="E132" s="46"/>
      <c r="F132" s="78"/>
      <c r="G132" s="78"/>
      <c r="H132" s="78"/>
      <c r="I132" s="78"/>
      <c r="J132" s="78"/>
      <c r="K132" s="83"/>
      <c r="L132" s="84"/>
      <c r="M132" s="84"/>
      <c r="N132" s="84"/>
      <c r="O132" s="84"/>
      <c r="P132" s="78"/>
      <c r="Q132" s="78"/>
      <c r="R132" s="78"/>
      <c r="S132" s="78"/>
      <c r="T132" s="78"/>
      <c r="U132" s="79"/>
      <c r="V132" s="78"/>
      <c r="W132" s="78"/>
      <c r="X132" s="78"/>
      <c r="Y132" s="67"/>
      <c r="Z132" s="78"/>
      <c r="AA132" s="78"/>
      <c r="AB132" s="78"/>
      <c r="AC132" s="78"/>
      <c r="AD132" s="78"/>
      <c r="AE132" s="78"/>
      <c r="AF132" s="78"/>
      <c r="AG132" s="78"/>
      <c r="AH132" s="78"/>
      <c r="AI132" s="78"/>
    </row>
    <row r="133" spans="1:35">
      <c r="A133" s="83"/>
      <c r="B133" s="83"/>
      <c r="C133" s="83"/>
      <c r="D133" s="83"/>
      <c r="E133" s="46"/>
      <c r="F133" s="78"/>
      <c r="G133" s="78"/>
      <c r="H133" s="78"/>
      <c r="I133" s="78"/>
      <c r="J133" s="78"/>
      <c r="K133" s="83"/>
      <c r="L133" s="84"/>
      <c r="M133" s="84"/>
      <c r="N133" s="84"/>
      <c r="O133" s="84"/>
      <c r="P133" s="78"/>
      <c r="Q133" s="78"/>
      <c r="R133" s="78"/>
      <c r="S133" s="78"/>
      <c r="T133" s="78"/>
      <c r="U133" s="79"/>
      <c r="V133" s="78"/>
      <c r="W133" s="78"/>
      <c r="X133" s="78"/>
      <c r="Y133" s="67"/>
      <c r="Z133" s="78"/>
      <c r="AA133" s="78"/>
      <c r="AB133" s="78"/>
      <c r="AC133" s="78"/>
      <c r="AD133" s="78"/>
      <c r="AE133" s="78"/>
      <c r="AF133" s="78"/>
      <c r="AG133" s="78"/>
      <c r="AH133" s="78"/>
      <c r="AI133" s="78"/>
    </row>
    <row r="134" spans="1:35">
      <c r="A134" s="83"/>
      <c r="B134" s="83"/>
      <c r="C134" s="83"/>
      <c r="D134" s="83"/>
      <c r="E134" s="46"/>
      <c r="F134" s="78"/>
      <c r="G134" s="78"/>
      <c r="H134" s="78"/>
      <c r="I134" s="78"/>
      <c r="J134" s="78"/>
      <c r="K134" s="83"/>
      <c r="L134" s="84"/>
      <c r="M134" s="84"/>
      <c r="N134" s="84"/>
      <c r="O134" s="84"/>
      <c r="P134" s="78"/>
      <c r="Q134" s="78"/>
      <c r="R134" s="78"/>
      <c r="S134" s="78"/>
      <c r="T134" s="78"/>
      <c r="U134" s="79"/>
      <c r="V134" s="78"/>
      <c r="W134" s="78"/>
      <c r="X134" s="78"/>
      <c r="Y134" s="67"/>
      <c r="Z134" s="78"/>
      <c r="AA134" s="78"/>
      <c r="AB134" s="78"/>
      <c r="AC134" s="78"/>
      <c r="AD134" s="78"/>
      <c r="AE134" s="78"/>
      <c r="AF134" s="78"/>
      <c r="AG134" s="78"/>
      <c r="AH134" s="78"/>
      <c r="AI134" s="78"/>
    </row>
    <row r="135" spans="1:35">
      <c r="A135" s="83"/>
      <c r="B135" s="83"/>
      <c r="C135" s="83"/>
      <c r="D135" s="83"/>
      <c r="E135" s="46"/>
      <c r="F135" s="78"/>
      <c r="G135" s="78"/>
      <c r="H135" s="78"/>
      <c r="I135" s="78"/>
      <c r="J135" s="78"/>
      <c r="K135" s="83"/>
      <c r="L135" s="84"/>
      <c r="M135" s="84"/>
      <c r="N135" s="84"/>
      <c r="O135" s="84"/>
      <c r="P135" s="78"/>
      <c r="Q135" s="78"/>
      <c r="R135" s="78"/>
      <c r="S135" s="78"/>
      <c r="T135" s="78"/>
      <c r="U135" s="79"/>
      <c r="V135" s="78"/>
      <c r="W135" s="78"/>
      <c r="X135" s="78"/>
      <c r="Y135" s="67"/>
      <c r="Z135" s="78"/>
      <c r="AA135" s="78"/>
      <c r="AB135" s="78"/>
      <c r="AC135" s="78"/>
      <c r="AD135" s="78"/>
      <c r="AE135" s="78"/>
      <c r="AF135" s="78"/>
      <c r="AG135" s="78"/>
      <c r="AH135" s="78"/>
      <c r="AI135" s="78"/>
    </row>
    <row r="136" spans="1:35">
      <c r="A136" s="83"/>
      <c r="B136" s="83"/>
      <c r="C136" s="83"/>
      <c r="D136" s="83"/>
      <c r="E136" s="46"/>
      <c r="F136" s="78"/>
      <c r="G136" s="78"/>
      <c r="H136" s="78"/>
      <c r="I136" s="78"/>
      <c r="J136" s="78"/>
      <c r="K136" s="83"/>
      <c r="L136" s="84"/>
      <c r="M136" s="84"/>
      <c r="N136" s="84"/>
      <c r="O136" s="84"/>
      <c r="P136" s="78"/>
      <c r="Q136" s="78"/>
      <c r="R136" s="78"/>
      <c r="S136" s="78"/>
      <c r="T136" s="78"/>
      <c r="U136" s="79"/>
      <c r="V136" s="78"/>
      <c r="W136" s="78"/>
      <c r="X136" s="78"/>
      <c r="Y136" s="67"/>
      <c r="Z136" s="78"/>
      <c r="AA136" s="78"/>
      <c r="AB136" s="78"/>
      <c r="AC136" s="78"/>
      <c r="AD136" s="78"/>
      <c r="AE136" s="78"/>
      <c r="AF136" s="78"/>
      <c r="AG136" s="78"/>
      <c r="AH136" s="78"/>
      <c r="AI136" s="78"/>
    </row>
    <row r="137" spans="1:35">
      <c r="A137" s="83"/>
      <c r="B137" s="83"/>
      <c r="C137" s="83"/>
      <c r="D137" s="83"/>
      <c r="E137" s="46"/>
      <c r="F137" s="78"/>
      <c r="G137" s="78"/>
      <c r="H137" s="78"/>
      <c r="I137" s="78"/>
      <c r="J137" s="78"/>
      <c r="K137" s="83"/>
      <c r="L137" s="86"/>
      <c r="M137" s="86"/>
      <c r="N137" s="86"/>
      <c r="O137" s="86"/>
      <c r="P137" s="78"/>
      <c r="Q137" s="78"/>
      <c r="R137" s="78"/>
      <c r="S137" s="78"/>
      <c r="T137" s="78"/>
      <c r="U137" s="79"/>
      <c r="V137" s="78"/>
      <c r="W137" s="78"/>
      <c r="X137" s="78"/>
      <c r="Y137" s="67"/>
      <c r="Z137" s="78"/>
      <c r="AA137" s="78"/>
      <c r="AB137" s="78"/>
      <c r="AC137" s="78"/>
      <c r="AD137" s="78"/>
      <c r="AE137" s="78"/>
      <c r="AF137" s="78"/>
      <c r="AG137" s="78"/>
      <c r="AH137" s="78"/>
      <c r="AI137" s="78"/>
    </row>
    <row r="138" spans="1:35">
      <c r="A138" s="78"/>
      <c r="B138" s="78"/>
      <c r="C138" s="78"/>
      <c r="D138" s="78"/>
      <c r="E138" s="78"/>
      <c r="F138" s="78"/>
      <c r="G138" s="78"/>
      <c r="H138" s="78"/>
      <c r="I138" s="78"/>
      <c r="J138" s="78"/>
      <c r="K138" s="78"/>
      <c r="L138" s="78"/>
      <c r="M138" s="78"/>
      <c r="N138" s="78"/>
      <c r="O138" s="78"/>
      <c r="P138" s="78"/>
      <c r="Q138" s="78"/>
      <c r="R138" s="78"/>
      <c r="S138" s="78"/>
      <c r="T138" s="78"/>
      <c r="U138" s="79"/>
      <c r="V138" s="78"/>
      <c r="W138" s="78"/>
      <c r="X138" s="78"/>
      <c r="Y138" s="67"/>
      <c r="Z138" s="78"/>
      <c r="AA138" s="78"/>
      <c r="AB138" s="78"/>
      <c r="AC138" s="78"/>
      <c r="AD138" s="78"/>
      <c r="AE138" s="78"/>
      <c r="AF138" s="78"/>
      <c r="AG138" s="78"/>
      <c r="AH138" s="78"/>
      <c r="AI138" s="78"/>
    </row>
    <row r="139" spans="1:35">
      <c r="A139" s="78"/>
      <c r="B139" s="78"/>
      <c r="C139" s="78"/>
      <c r="D139" s="78"/>
      <c r="E139" s="78"/>
      <c r="F139" s="78"/>
      <c r="G139" s="78"/>
      <c r="H139" s="78"/>
      <c r="I139" s="78"/>
      <c r="J139" s="78"/>
      <c r="K139" s="78"/>
      <c r="L139" s="78"/>
      <c r="M139" s="78"/>
      <c r="N139" s="78"/>
      <c r="O139" s="78"/>
      <c r="P139" s="78"/>
      <c r="Q139" s="78"/>
      <c r="R139" s="78"/>
      <c r="S139" s="78"/>
      <c r="T139" s="78"/>
      <c r="U139" s="79"/>
      <c r="V139" s="78"/>
      <c r="W139" s="78"/>
      <c r="X139" s="78"/>
      <c r="Y139" s="67"/>
      <c r="Z139" s="78"/>
      <c r="AA139" s="78"/>
      <c r="AB139" s="78"/>
      <c r="AC139" s="78"/>
      <c r="AD139" s="78"/>
      <c r="AE139" s="78"/>
      <c r="AF139" s="78"/>
      <c r="AG139" s="78"/>
      <c r="AH139" s="78"/>
      <c r="AI139" s="78"/>
    </row>
    <row r="140" spans="1:35">
      <c r="A140" s="78"/>
      <c r="B140" s="78"/>
      <c r="C140" s="78"/>
      <c r="D140" s="78"/>
      <c r="E140" s="78"/>
      <c r="F140" s="78"/>
      <c r="G140" s="78"/>
      <c r="H140" s="78"/>
      <c r="I140" s="78"/>
      <c r="J140" s="78"/>
      <c r="K140" s="78"/>
      <c r="L140" s="78"/>
      <c r="M140" s="78"/>
      <c r="N140" s="78"/>
      <c r="O140" s="78"/>
      <c r="P140" s="78"/>
      <c r="Q140" s="78"/>
      <c r="R140" s="78"/>
      <c r="S140" s="78"/>
      <c r="T140" s="78"/>
      <c r="U140" s="79"/>
      <c r="V140" s="78"/>
      <c r="W140" s="78"/>
      <c r="X140" s="78"/>
      <c r="Y140" s="67"/>
      <c r="Z140" s="78"/>
      <c r="AA140" s="78"/>
      <c r="AB140" s="78"/>
      <c r="AC140" s="78"/>
      <c r="AD140" s="78"/>
      <c r="AE140" s="78"/>
      <c r="AF140" s="78"/>
      <c r="AG140" s="78"/>
      <c r="AH140" s="78"/>
      <c r="AI140" s="78"/>
    </row>
    <row r="141" spans="1:35">
      <c r="A141" s="78"/>
      <c r="B141" s="78"/>
      <c r="C141" s="78"/>
      <c r="D141" s="78"/>
      <c r="E141" s="78"/>
      <c r="F141" s="78"/>
      <c r="G141" s="78"/>
      <c r="H141" s="78"/>
      <c r="I141" s="78"/>
      <c r="J141" s="78"/>
      <c r="K141" s="78"/>
      <c r="L141" s="78"/>
      <c r="M141" s="78"/>
      <c r="N141" s="78"/>
      <c r="O141" s="78"/>
      <c r="P141" s="78"/>
      <c r="Q141" s="78"/>
      <c r="R141" s="78"/>
      <c r="S141" s="78"/>
      <c r="T141" s="78"/>
      <c r="U141" s="79"/>
      <c r="V141" s="78"/>
      <c r="W141" s="78"/>
      <c r="X141" s="78"/>
      <c r="Y141" s="67"/>
      <c r="Z141" s="78"/>
      <c r="AA141" s="78"/>
      <c r="AB141" s="78"/>
      <c r="AC141" s="78"/>
      <c r="AD141" s="78"/>
      <c r="AE141" s="78"/>
      <c r="AF141" s="78"/>
      <c r="AG141" s="78"/>
      <c r="AH141" s="78"/>
      <c r="AI141" s="78"/>
    </row>
    <row r="142" spans="1:35">
      <c r="A142" s="78"/>
      <c r="B142" s="78"/>
      <c r="C142" s="78"/>
      <c r="D142" s="78"/>
      <c r="E142" s="78"/>
      <c r="F142" s="78"/>
      <c r="G142" s="78"/>
      <c r="H142" s="78"/>
      <c r="I142" s="78"/>
      <c r="J142" s="78"/>
      <c r="K142" s="78"/>
      <c r="L142" s="78"/>
      <c r="M142" s="78"/>
      <c r="N142" s="78"/>
      <c r="O142" s="78"/>
      <c r="P142" s="78"/>
      <c r="Q142" s="78"/>
      <c r="R142" s="78"/>
      <c r="S142" s="78"/>
      <c r="T142" s="78"/>
      <c r="U142" s="79"/>
      <c r="V142" s="78"/>
      <c r="W142" s="78"/>
      <c r="X142" s="78"/>
      <c r="Y142" s="67"/>
      <c r="Z142" s="78"/>
      <c r="AA142" s="78"/>
      <c r="AB142" s="78"/>
      <c r="AC142" s="78"/>
      <c r="AD142" s="78"/>
      <c r="AE142" s="78"/>
      <c r="AF142" s="78"/>
      <c r="AG142" s="78"/>
      <c r="AH142" s="78"/>
      <c r="AI142" s="78"/>
    </row>
    <row r="143" spans="1:35">
      <c r="A143" s="78"/>
      <c r="B143" s="78"/>
      <c r="C143" s="78"/>
      <c r="D143" s="78"/>
      <c r="E143" s="78"/>
      <c r="F143" s="78"/>
      <c r="G143" s="78"/>
      <c r="H143" s="78"/>
      <c r="I143" s="78"/>
      <c r="J143" s="78"/>
      <c r="K143" s="78"/>
      <c r="L143" s="78"/>
      <c r="M143" s="78"/>
      <c r="N143" s="78"/>
      <c r="O143" s="78"/>
      <c r="P143" s="78"/>
      <c r="Q143" s="78"/>
      <c r="R143" s="78"/>
      <c r="S143" s="78"/>
      <c r="T143" s="78"/>
      <c r="U143" s="79"/>
      <c r="V143" s="78"/>
      <c r="W143" s="78"/>
      <c r="X143" s="78"/>
      <c r="Y143" s="67"/>
      <c r="Z143" s="78"/>
      <c r="AA143" s="78"/>
      <c r="AB143" s="78"/>
      <c r="AC143" s="78"/>
      <c r="AD143" s="78"/>
      <c r="AE143" s="78"/>
      <c r="AF143" s="78"/>
      <c r="AG143" s="78"/>
      <c r="AH143" s="78"/>
      <c r="AI143" s="78"/>
    </row>
    <row r="144" spans="1:35">
      <c r="A144" s="78"/>
      <c r="B144" s="78"/>
      <c r="C144" s="78"/>
      <c r="D144" s="78"/>
      <c r="E144" s="78"/>
      <c r="F144" s="78"/>
      <c r="G144" s="78"/>
      <c r="H144" s="78"/>
      <c r="I144" s="78"/>
      <c r="J144" s="78"/>
      <c r="K144" s="78"/>
      <c r="L144" s="78"/>
      <c r="M144" s="78"/>
      <c r="N144" s="78"/>
      <c r="O144" s="78"/>
      <c r="P144" s="78"/>
      <c r="Q144" s="78"/>
      <c r="R144" s="78"/>
      <c r="S144" s="78"/>
      <c r="T144" s="78"/>
      <c r="U144" s="79"/>
      <c r="V144" s="78"/>
      <c r="W144" s="78"/>
      <c r="X144" s="78"/>
      <c r="Y144" s="67"/>
      <c r="Z144" s="78"/>
      <c r="AA144" s="78"/>
      <c r="AB144" s="78"/>
      <c r="AC144" s="78"/>
      <c r="AD144" s="78"/>
      <c r="AE144" s="78"/>
      <c r="AF144" s="78"/>
      <c r="AG144" s="78"/>
      <c r="AH144" s="78"/>
      <c r="AI144" s="78"/>
    </row>
    <row r="145" spans="1:35">
      <c r="A145" s="78"/>
      <c r="B145" s="78"/>
      <c r="C145" s="78"/>
      <c r="D145" s="78"/>
      <c r="E145" s="78"/>
      <c r="F145" s="78"/>
      <c r="G145" s="78"/>
      <c r="H145" s="78"/>
      <c r="I145" s="78"/>
      <c r="J145" s="78"/>
      <c r="K145" s="78"/>
      <c r="L145" s="78"/>
      <c r="M145" s="78"/>
      <c r="N145" s="78"/>
      <c r="O145" s="78"/>
      <c r="P145" s="78"/>
      <c r="Q145" s="78"/>
      <c r="R145" s="78"/>
      <c r="S145" s="78"/>
      <c r="T145" s="78"/>
      <c r="U145" s="79"/>
      <c r="V145" s="78"/>
      <c r="W145" s="78"/>
      <c r="X145" s="78"/>
      <c r="Y145" s="67"/>
      <c r="Z145" s="78"/>
      <c r="AA145" s="78"/>
      <c r="AB145" s="78"/>
      <c r="AC145" s="78"/>
      <c r="AD145" s="78"/>
      <c r="AE145" s="78"/>
      <c r="AF145" s="78"/>
      <c r="AG145" s="78"/>
      <c r="AH145" s="78"/>
      <c r="AI145" s="78"/>
    </row>
    <row r="146" spans="1:35">
      <c r="A146" s="78"/>
      <c r="B146" s="78"/>
      <c r="C146" s="78"/>
      <c r="D146" s="78"/>
      <c r="E146" s="78"/>
      <c r="F146" s="78"/>
      <c r="G146" s="78"/>
      <c r="H146" s="78"/>
      <c r="I146" s="78"/>
      <c r="J146" s="78"/>
      <c r="K146" s="78"/>
      <c r="L146" s="78"/>
      <c r="M146" s="78"/>
      <c r="N146" s="78"/>
      <c r="O146" s="78"/>
      <c r="P146" s="78"/>
      <c r="Q146" s="78"/>
      <c r="R146" s="78"/>
      <c r="S146" s="78"/>
      <c r="T146" s="78"/>
      <c r="U146" s="79"/>
      <c r="V146" s="78"/>
      <c r="W146" s="78"/>
      <c r="X146" s="78"/>
      <c r="Y146" s="67"/>
      <c r="Z146" s="78"/>
      <c r="AA146" s="78"/>
      <c r="AB146" s="78"/>
      <c r="AC146" s="78"/>
      <c r="AD146" s="78"/>
      <c r="AE146" s="78"/>
      <c r="AF146" s="78"/>
      <c r="AG146" s="78"/>
      <c r="AH146" s="78"/>
      <c r="AI146" s="78"/>
    </row>
    <row r="147" spans="1:35">
      <c r="A147" s="78"/>
      <c r="B147" s="78"/>
      <c r="C147" s="78"/>
      <c r="D147" s="78"/>
      <c r="E147" s="78"/>
      <c r="F147" s="78"/>
      <c r="G147" s="78"/>
      <c r="H147" s="78"/>
      <c r="I147" s="78"/>
      <c r="J147" s="78"/>
      <c r="K147" s="78"/>
      <c r="L147" s="78"/>
      <c r="M147" s="78"/>
      <c r="N147" s="78"/>
      <c r="O147" s="78"/>
      <c r="P147" s="78"/>
      <c r="Q147" s="78"/>
      <c r="R147" s="78"/>
      <c r="S147" s="78"/>
      <c r="T147" s="78"/>
      <c r="U147" s="79"/>
      <c r="V147" s="78"/>
      <c r="W147" s="78"/>
      <c r="X147" s="78"/>
      <c r="Y147" s="67"/>
      <c r="Z147" s="78"/>
      <c r="AA147" s="78"/>
      <c r="AB147" s="78"/>
      <c r="AC147" s="78"/>
      <c r="AD147" s="78"/>
      <c r="AE147" s="78"/>
      <c r="AF147" s="78"/>
      <c r="AG147" s="78"/>
      <c r="AH147" s="78"/>
      <c r="AI147" s="78"/>
    </row>
    <row r="148" spans="1:35">
      <c r="A148" s="78"/>
      <c r="B148" s="78"/>
      <c r="C148" s="78"/>
      <c r="D148" s="78"/>
      <c r="E148" s="78"/>
      <c r="F148" s="78"/>
      <c r="G148" s="78"/>
      <c r="H148" s="78"/>
      <c r="I148" s="78"/>
      <c r="J148" s="78"/>
      <c r="K148" s="78"/>
      <c r="L148" s="78"/>
      <c r="M148" s="78"/>
      <c r="N148" s="78"/>
      <c r="O148" s="78"/>
      <c r="P148" s="78"/>
      <c r="Q148" s="78"/>
      <c r="R148" s="78"/>
      <c r="S148" s="78"/>
      <c r="T148" s="78"/>
      <c r="U148" s="79"/>
      <c r="V148" s="78"/>
      <c r="W148" s="78"/>
      <c r="X148" s="78"/>
      <c r="Y148" s="67"/>
      <c r="Z148" s="78"/>
      <c r="AA148" s="78"/>
      <c r="AB148" s="78"/>
      <c r="AC148" s="78"/>
      <c r="AD148" s="78"/>
      <c r="AE148" s="78"/>
      <c r="AF148" s="78"/>
      <c r="AG148" s="78"/>
      <c r="AH148" s="78"/>
      <c r="AI148" s="78"/>
    </row>
    <row r="149" spans="1:35">
      <c r="A149" s="78"/>
      <c r="B149" s="78"/>
      <c r="C149" s="78"/>
      <c r="D149" s="78"/>
      <c r="E149" s="78"/>
      <c r="F149" s="78"/>
      <c r="G149" s="78"/>
      <c r="H149" s="78"/>
      <c r="I149" s="78"/>
      <c r="J149" s="78"/>
      <c r="K149" s="78"/>
      <c r="L149" s="78"/>
      <c r="M149" s="78"/>
      <c r="N149" s="78"/>
      <c r="O149" s="78"/>
      <c r="P149" s="78"/>
      <c r="Q149" s="78"/>
      <c r="R149" s="78"/>
      <c r="S149" s="78"/>
      <c r="T149" s="78"/>
      <c r="U149" s="79"/>
      <c r="V149" s="78"/>
      <c r="W149" s="78"/>
      <c r="X149" s="78"/>
      <c r="Y149" s="67"/>
      <c r="Z149" s="78"/>
      <c r="AA149" s="78"/>
      <c r="AB149" s="78"/>
      <c r="AC149" s="78"/>
      <c r="AD149" s="78"/>
      <c r="AE149" s="78"/>
      <c r="AF149" s="78"/>
      <c r="AG149" s="78"/>
      <c r="AH149" s="78"/>
      <c r="AI149" s="78"/>
    </row>
    <row r="150" spans="1:35">
      <c r="A150" s="78"/>
      <c r="B150" s="78"/>
      <c r="C150" s="78"/>
      <c r="D150" s="78"/>
      <c r="E150" s="78"/>
      <c r="F150" s="78"/>
      <c r="G150" s="78"/>
      <c r="H150" s="78"/>
      <c r="I150" s="78"/>
      <c r="J150" s="78"/>
      <c r="K150" s="78"/>
      <c r="L150" s="78"/>
      <c r="M150" s="78"/>
      <c r="N150" s="78"/>
      <c r="O150" s="78"/>
      <c r="P150" s="78"/>
      <c r="Q150" s="78"/>
      <c r="R150" s="78"/>
      <c r="S150" s="78"/>
      <c r="T150" s="78"/>
      <c r="U150" s="79"/>
      <c r="V150" s="78"/>
      <c r="W150" s="78"/>
      <c r="X150" s="78"/>
      <c r="Y150" s="67"/>
      <c r="Z150" s="78"/>
      <c r="AA150" s="78"/>
      <c r="AB150" s="78"/>
      <c r="AC150" s="78"/>
      <c r="AD150" s="78"/>
      <c r="AE150" s="78"/>
      <c r="AF150" s="78"/>
      <c r="AG150" s="78"/>
      <c r="AH150" s="78"/>
      <c r="AI150" s="78"/>
    </row>
    <row r="151" spans="1:35">
      <c r="A151" s="78"/>
      <c r="B151" s="78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78"/>
      <c r="N151" s="78"/>
      <c r="O151" s="78"/>
      <c r="P151" s="78"/>
      <c r="Q151" s="78"/>
      <c r="R151" s="78"/>
      <c r="S151" s="78"/>
      <c r="T151" s="78"/>
      <c r="U151" s="79"/>
      <c r="V151" s="78"/>
      <c r="W151" s="78"/>
      <c r="X151" s="78"/>
      <c r="Y151" s="67"/>
      <c r="Z151" s="78"/>
      <c r="AA151" s="78"/>
      <c r="AB151" s="78"/>
      <c r="AC151" s="78"/>
      <c r="AD151" s="78"/>
      <c r="AE151" s="78"/>
      <c r="AF151" s="78"/>
      <c r="AG151" s="78"/>
      <c r="AH151" s="78"/>
      <c r="AI151" s="78"/>
    </row>
    <row r="152" spans="1:35">
      <c r="A152" s="78"/>
      <c r="B152" s="78"/>
      <c r="C152" s="78"/>
      <c r="D152" s="78"/>
      <c r="E152" s="78"/>
      <c r="F152" s="78"/>
      <c r="G152" s="78"/>
      <c r="H152" s="78"/>
      <c r="I152" s="78"/>
      <c r="J152" s="78"/>
      <c r="K152" s="78"/>
      <c r="L152" s="78"/>
      <c r="M152" s="78"/>
      <c r="N152" s="78"/>
      <c r="O152" s="78"/>
      <c r="P152" s="78"/>
      <c r="Q152" s="78"/>
      <c r="R152" s="78"/>
      <c r="S152" s="78"/>
      <c r="T152" s="78"/>
      <c r="U152" s="79"/>
      <c r="V152" s="78"/>
      <c r="W152" s="78"/>
      <c r="X152" s="78"/>
      <c r="Y152" s="67"/>
      <c r="Z152" s="78"/>
      <c r="AA152" s="78"/>
      <c r="AB152" s="78"/>
      <c r="AC152" s="78"/>
      <c r="AD152" s="78"/>
      <c r="AE152" s="78"/>
      <c r="AF152" s="78"/>
      <c r="AG152" s="78"/>
      <c r="AH152" s="78"/>
      <c r="AI152" s="78"/>
    </row>
    <row r="153" spans="1:35">
      <c r="A153" s="78"/>
      <c r="B153" s="78"/>
      <c r="C153" s="78"/>
      <c r="D153" s="78"/>
      <c r="E153" s="78"/>
      <c r="F153" s="78"/>
      <c r="G153" s="78"/>
      <c r="H153" s="78"/>
      <c r="I153" s="78"/>
      <c r="J153" s="78"/>
      <c r="K153" s="78"/>
      <c r="L153" s="78"/>
      <c r="M153" s="78"/>
      <c r="N153" s="78"/>
      <c r="O153" s="78"/>
      <c r="P153" s="78"/>
      <c r="Q153" s="78"/>
      <c r="R153" s="78"/>
      <c r="S153" s="78"/>
      <c r="T153" s="78"/>
      <c r="U153" s="79"/>
      <c r="V153" s="78"/>
      <c r="W153" s="78"/>
      <c r="X153" s="78"/>
      <c r="Y153" s="67"/>
      <c r="Z153" s="78"/>
      <c r="AA153" s="78"/>
      <c r="AB153" s="78"/>
      <c r="AC153" s="78"/>
      <c r="AD153" s="78"/>
      <c r="AE153" s="78"/>
      <c r="AF153" s="78"/>
      <c r="AG153" s="78"/>
      <c r="AH153" s="78"/>
      <c r="AI153" s="78"/>
    </row>
    <row r="154" spans="1:35">
      <c r="A154" s="78"/>
      <c r="B154" s="78"/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78"/>
      <c r="N154" s="78"/>
      <c r="O154" s="78"/>
      <c r="P154" s="78"/>
      <c r="Q154" s="78"/>
      <c r="R154" s="78"/>
      <c r="S154" s="78"/>
      <c r="T154" s="78"/>
      <c r="U154" s="79"/>
      <c r="V154" s="78"/>
      <c r="W154" s="78"/>
      <c r="X154" s="78"/>
      <c r="Y154" s="67"/>
      <c r="Z154" s="78"/>
      <c r="AA154" s="78"/>
      <c r="AB154" s="78"/>
      <c r="AC154" s="78"/>
      <c r="AD154" s="78"/>
      <c r="AE154" s="78"/>
      <c r="AF154" s="78"/>
      <c r="AG154" s="78"/>
      <c r="AH154" s="78"/>
      <c r="AI154" s="78"/>
    </row>
    <row r="155" spans="1:35">
      <c r="A155" s="78"/>
      <c r="B155" s="78"/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78"/>
      <c r="N155" s="78"/>
      <c r="O155" s="78"/>
      <c r="P155" s="78"/>
      <c r="Q155" s="78"/>
      <c r="R155" s="78"/>
      <c r="S155" s="78"/>
      <c r="T155" s="78"/>
      <c r="U155" s="79"/>
      <c r="V155" s="78"/>
      <c r="W155" s="78"/>
      <c r="X155" s="78"/>
      <c r="Y155" s="67"/>
      <c r="Z155" s="78"/>
      <c r="AA155" s="78"/>
      <c r="AB155" s="78"/>
      <c r="AC155" s="78"/>
      <c r="AD155" s="78"/>
      <c r="AE155" s="78"/>
      <c r="AF155" s="78"/>
      <c r="AG155" s="78"/>
      <c r="AH155" s="78"/>
      <c r="AI155" s="78"/>
    </row>
    <row r="156" spans="1:35">
      <c r="A156" s="78"/>
      <c r="B156" s="78"/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78"/>
      <c r="N156" s="78"/>
      <c r="O156" s="78"/>
      <c r="P156" s="78"/>
      <c r="Q156" s="78"/>
      <c r="R156" s="78"/>
      <c r="S156" s="78"/>
      <c r="T156" s="78"/>
      <c r="U156" s="79"/>
      <c r="V156" s="78"/>
      <c r="W156" s="78"/>
      <c r="X156" s="78"/>
      <c r="Y156" s="67"/>
      <c r="Z156" s="78"/>
      <c r="AA156" s="78"/>
      <c r="AB156" s="78"/>
      <c r="AC156" s="78"/>
      <c r="AD156" s="78"/>
      <c r="AE156" s="78"/>
      <c r="AF156" s="78"/>
      <c r="AG156" s="78"/>
      <c r="AH156" s="78"/>
      <c r="AI156" s="78"/>
    </row>
    <row r="157" spans="1:35">
      <c r="A157" s="78"/>
      <c r="B157" s="78"/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78"/>
      <c r="N157" s="78"/>
      <c r="O157" s="78"/>
      <c r="P157" s="78"/>
      <c r="Q157" s="78"/>
      <c r="R157" s="78"/>
      <c r="S157" s="78"/>
      <c r="T157" s="78"/>
      <c r="U157" s="79"/>
      <c r="V157" s="78"/>
      <c r="W157" s="78"/>
      <c r="X157" s="78"/>
      <c r="Y157" s="67"/>
      <c r="Z157" s="78"/>
      <c r="AA157" s="78"/>
      <c r="AB157" s="78"/>
      <c r="AC157" s="78"/>
      <c r="AD157" s="78"/>
      <c r="AE157" s="78"/>
      <c r="AF157" s="78"/>
      <c r="AG157" s="78"/>
      <c r="AH157" s="78"/>
      <c r="AI157" s="78"/>
    </row>
    <row r="158" spans="1:35">
      <c r="A158" s="78"/>
      <c r="B158" s="78"/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78"/>
      <c r="N158" s="78"/>
      <c r="O158" s="78"/>
      <c r="P158" s="78"/>
      <c r="Q158" s="78"/>
      <c r="R158" s="78"/>
      <c r="S158" s="78"/>
      <c r="T158" s="78"/>
      <c r="U158" s="79"/>
      <c r="V158" s="78"/>
      <c r="W158" s="78"/>
      <c r="X158" s="78"/>
      <c r="Y158" s="67"/>
      <c r="Z158" s="78"/>
      <c r="AA158" s="78"/>
      <c r="AB158" s="78"/>
      <c r="AC158" s="78"/>
      <c r="AD158" s="78"/>
      <c r="AE158" s="78"/>
      <c r="AF158" s="78"/>
      <c r="AG158" s="78"/>
      <c r="AH158" s="78"/>
      <c r="AI158" s="78"/>
    </row>
    <row r="159" spans="1:35">
      <c r="A159" s="78"/>
      <c r="B159" s="78"/>
      <c r="C159" s="78"/>
      <c r="D159" s="78"/>
      <c r="E159" s="78"/>
      <c r="F159" s="78"/>
      <c r="G159" s="78"/>
      <c r="H159" s="78"/>
      <c r="I159" s="78"/>
      <c r="J159" s="78"/>
      <c r="K159" s="78"/>
      <c r="L159" s="78"/>
      <c r="M159" s="78"/>
      <c r="N159" s="78"/>
      <c r="O159" s="78"/>
      <c r="P159" s="78"/>
      <c r="Q159" s="78"/>
      <c r="R159" s="78"/>
      <c r="S159" s="78"/>
      <c r="T159" s="78"/>
      <c r="U159" s="79"/>
      <c r="V159" s="78"/>
      <c r="W159" s="78"/>
      <c r="X159" s="78"/>
      <c r="Y159" s="67"/>
      <c r="Z159" s="78"/>
      <c r="AA159" s="78"/>
      <c r="AB159" s="78"/>
      <c r="AC159" s="78"/>
      <c r="AD159" s="78"/>
      <c r="AE159" s="78"/>
      <c r="AF159" s="78"/>
      <c r="AG159" s="78"/>
      <c r="AH159" s="78"/>
      <c r="AI159" s="78"/>
    </row>
    <row r="160" spans="1:35">
      <c r="A160" s="78"/>
      <c r="B160" s="78"/>
      <c r="C160" s="78"/>
      <c r="D160" s="78"/>
      <c r="E160" s="78"/>
      <c r="F160" s="78"/>
      <c r="G160" s="78"/>
      <c r="H160" s="78"/>
      <c r="I160" s="78"/>
      <c r="J160" s="78"/>
      <c r="K160" s="78"/>
      <c r="L160" s="78"/>
      <c r="M160" s="78"/>
      <c r="N160" s="78"/>
      <c r="O160" s="78"/>
      <c r="P160" s="78"/>
      <c r="Q160" s="78"/>
      <c r="R160" s="78"/>
      <c r="S160" s="78"/>
      <c r="T160" s="78"/>
      <c r="U160" s="79"/>
      <c r="V160" s="78"/>
      <c r="W160" s="78"/>
      <c r="X160" s="78"/>
      <c r="Y160" s="67"/>
      <c r="Z160" s="78"/>
      <c r="AA160" s="78"/>
      <c r="AB160" s="78"/>
      <c r="AC160" s="78"/>
      <c r="AD160" s="78"/>
      <c r="AE160" s="78"/>
      <c r="AF160" s="78"/>
      <c r="AG160" s="78"/>
      <c r="AH160" s="78"/>
      <c r="AI160" s="78"/>
    </row>
    <row r="161" spans="1:35">
      <c r="A161" s="78"/>
      <c r="B161" s="78"/>
      <c r="C161" s="78"/>
      <c r="D161" s="78"/>
      <c r="E161" s="78"/>
      <c r="F161" s="78"/>
      <c r="G161" s="78"/>
      <c r="H161" s="78"/>
      <c r="I161" s="78"/>
      <c r="J161" s="78"/>
      <c r="K161" s="78"/>
      <c r="L161" s="78"/>
      <c r="M161" s="78"/>
      <c r="N161" s="78"/>
      <c r="O161" s="78"/>
      <c r="P161" s="78"/>
      <c r="Q161" s="78"/>
      <c r="R161" s="78"/>
      <c r="S161" s="78"/>
      <c r="T161" s="78"/>
      <c r="U161" s="79"/>
      <c r="V161" s="78"/>
      <c r="W161" s="78"/>
      <c r="X161" s="78"/>
      <c r="Y161" s="67"/>
      <c r="Z161" s="78"/>
      <c r="AA161" s="78"/>
      <c r="AB161" s="78"/>
      <c r="AC161" s="78"/>
      <c r="AD161" s="78"/>
      <c r="AE161" s="78"/>
      <c r="AF161" s="78"/>
      <c r="AG161" s="78"/>
      <c r="AH161" s="78"/>
      <c r="AI161" s="78"/>
    </row>
    <row r="162" spans="1:35">
      <c r="A162" s="78"/>
      <c r="B162" s="78"/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78"/>
      <c r="N162" s="78"/>
      <c r="O162" s="78"/>
      <c r="P162" s="78"/>
      <c r="Q162" s="78"/>
      <c r="R162" s="78"/>
      <c r="S162" s="78"/>
      <c r="T162" s="78"/>
      <c r="U162" s="79"/>
      <c r="V162" s="78"/>
      <c r="W162" s="78"/>
      <c r="X162" s="78"/>
      <c r="Y162" s="67"/>
      <c r="Z162" s="78"/>
      <c r="AA162" s="78"/>
      <c r="AB162" s="78"/>
      <c r="AC162" s="78"/>
      <c r="AD162" s="78"/>
      <c r="AE162" s="78"/>
      <c r="AF162" s="78"/>
      <c r="AG162" s="78"/>
      <c r="AH162" s="78"/>
      <c r="AI162" s="78"/>
    </row>
    <row r="163" spans="1:35">
      <c r="A163" s="78"/>
      <c r="B163" s="78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78"/>
      <c r="N163" s="78"/>
      <c r="O163" s="78"/>
      <c r="P163" s="78"/>
      <c r="Q163" s="78"/>
      <c r="R163" s="78"/>
      <c r="S163" s="78"/>
      <c r="T163" s="78"/>
      <c r="U163" s="79"/>
      <c r="V163" s="78"/>
      <c r="W163" s="78"/>
      <c r="X163" s="78"/>
      <c r="Y163" s="67"/>
      <c r="Z163" s="78"/>
      <c r="AA163" s="78"/>
      <c r="AB163" s="78"/>
      <c r="AC163" s="78"/>
      <c r="AD163" s="78"/>
      <c r="AE163" s="78"/>
      <c r="AF163" s="78"/>
      <c r="AG163" s="78"/>
      <c r="AH163" s="78"/>
      <c r="AI163" s="78"/>
    </row>
    <row r="164" spans="1:35">
      <c r="A164" s="78"/>
      <c r="B164" s="78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78"/>
      <c r="N164" s="78"/>
      <c r="O164" s="78"/>
      <c r="P164" s="78"/>
      <c r="Q164" s="78"/>
      <c r="R164" s="78"/>
      <c r="S164" s="78"/>
      <c r="T164" s="78"/>
      <c r="U164" s="79"/>
      <c r="V164" s="78"/>
      <c r="W164" s="78"/>
      <c r="X164" s="78"/>
      <c r="Y164" s="67"/>
      <c r="Z164" s="78"/>
      <c r="AA164" s="78"/>
      <c r="AB164" s="78"/>
      <c r="AC164" s="78"/>
      <c r="AD164" s="78"/>
      <c r="AE164" s="78"/>
      <c r="AF164" s="78"/>
      <c r="AG164" s="78"/>
      <c r="AH164" s="78"/>
      <c r="AI164" s="78"/>
    </row>
    <row r="165" spans="1:35">
      <c r="A165" s="78"/>
      <c r="B165" s="78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78"/>
      <c r="N165" s="78"/>
      <c r="O165" s="78"/>
      <c r="P165" s="78"/>
      <c r="Q165" s="78"/>
      <c r="R165" s="78"/>
      <c r="S165" s="78"/>
      <c r="T165" s="78"/>
      <c r="U165" s="79"/>
      <c r="V165" s="78"/>
      <c r="W165" s="78"/>
      <c r="X165" s="78"/>
      <c r="Y165" s="67"/>
      <c r="Z165" s="78"/>
      <c r="AA165" s="78"/>
      <c r="AB165" s="78"/>
      <c r="AC165" s="78"/>
      <c r="AD165" s="78"/>
      <c r="AE165" s="78"/>
      <c r="AF165" s="78"/>
      <c r="AG165" s="78"/>
      <c r="AH165" s="78"/>
      <c r="AI165" s="78"/>
    </row>
    <row r="166" spans="1:35">
      <c r="A166" s="78"/>
      <c r="B166" s="78"/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78"/>
      <c r="N166" s="78"/>
      <c r="O166" s="78"/>
      <c r="P166" s="78"/>
      <c r="Q166" s="78"/>
      <c r="R166" s="78"/>
      <c r="S166" s="78"/>
      <c r="T166" s="78"/>
      <c r="U166" s="79"/>
      <c r="V166" s="78"/>
      <c r="W166" s="78"/>
      <c r="X166" s="78"/>
      <c r="Y166" s="67"/>
      <c r="Z166" s="78"/>
      <c r="AA166" s="78"/>
      <c r="AB166" s="78"/>
      <c r="AC166" s="78"/>
      <c r="AD166" s="78"/>
      <c r="AE166" s="78"/>
      <c r="AF166" s="78"/>
      <c r="AG166" s="78"/>
      <c r="AH166" s="78"/>
      <c r="AI166" s="78"/>
    </row>
    <row r="167" spans="1:35">
      <c r="A167" s="78"/>
      <c r="B167" s="78"/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78"/>
      <c r="N167" s="78"/>
      <c r="O167" s="78"/>
      <c r="P167" s="78"/>
      <c r="Q167" s="78"/>
      <c r="R167" s="78"/>
      <c r="S167" s="78"/>
      <c r="T167" s="78"/>
      <c r="U167" s="79"/>
      <c r="V167" s="78"/>
      <c r="W167" s="78"/>
      <c r="X167" s="78"/>
      <c r="Y167" s="67"/>
      <c r="Z167" s="78"/>
      <c r="AA167" s="78"/>
      <c r="AB167" s="78"/>
      <c r="AC167" s="78"/>
      <c r="AD167" s="78"/>
      <c r="AE167" s="78"/>
      <c r="AF167" s="78"/>
      <c r="AG167" s="78"/>
      <c r="AH167" s="78"/>
      <c r="AI167" s="78"/>
    </row>
    <row r="168" spans="1:35">
      <c r="A168" s="78"/>
      <c r="B168" s="78"/>
      <c r="C168" s="78"/>
      <c r="D168" s="78"/>
      <c r="E168" s="78"/>
      <c r="F168" s="78"/>
      <c r="G168" s="78"/>
      <c r="H168" s="78"/>
      <c r="I168" s="78"/>
      <c r="J168" s="78"/>
      <c r="K168" s="78"/>
      <c r="L168" s="78"/>
      <c r="M168" s="78"/>
      <c r="N168" s="78"/>
      <c r="O168" s="78"/>
      <c r="P168" s="78"/>
      <c r="Q168" s="78"/>
      <c r="R168" s="78"/>
      <c r="S168" s="78"/>
      <c r="T168" s="78"/>
      <c r="U168" s="79"/>
      <c r="V168" s="78"/>
      <c r="W168" s="78"/>
      <c r="X168" s="78"/>
      <c r="Y168" s="67"/>
      <c r="Z168" s="78"/>
      <c r="AA168" s="78"/>
      <c r="AB168" s="78"/>
      <c r="AC168" s="78"/>
      <c r="AD168" s="78"/>
      <c r="AE168" s="78"/>
      <c r="AF168" s="78"/>
      <c r="AG168" s="78"/>
      <c r="AH168" s="78"/>
      <c r="AI168" s="78"/>
    </row>
    <row r="169" spans="1:35">
      <c r="A169" s="78"/>
      <c r="B169" s="78"/>
      <c r="C169" s="78"/>
      <c r="D169" s="78"/>
      <c r="E169" s="78"/>
      <c r="F169" s="78"/>
      <c r="G169" s="78"/>
      <c r="H169" s="78"/>
      <c r="I169" s="78"/>
      <c r="J169" s="78"/>
      <c r="K169" s="78"/>
      <c r="L169" s="78"/>
      <c r="M169" s="78"/>
      <c r="N169" s="78"/>
      <c r="O169" s="78"/>
      <c r="P169" s="78"/>
      <c r="Q169" s="78"/>
      <c r="R169" s="78"/>
      <c r="S169" s="78"/>
      <c r="T169" s="78"/>
      <c r="U169" s="79"/>
      <c r="V169" s="78"/>
      <c r="W169" s="78"/>
      <c r="X169" s="78"/>
      <c r="Y169" s="67"/>
      <c r="Z169" s="78"/>
      <c r="AA169" s="78"/>
      <c r="AB169" s="78"/>
      <c r="AC169" s="78"/>
      <c r="AD169" s="78"/>
      <c r="AE169" s="78"/>
      <c r="AF169" s="78"/>
      <c r="AG169" s="78"/>
      <c r="AH169" s="78"/>
      <c r="AI169" s="78"/>
    </row>
    <row r="170" spans="1:35">
      <c r="A170" s="78"/>
      <c r="B170" s="78"/>
      <c r="C170" s="78"/>
      <c r="D170" s="78"/>
      <c r="E170" s="78"/>
      <c r="F170" s="78"/>
      <c r="G170" s="78"/>
      <c r="H170" s="78"/>
      <c r="I170" s="78"/>
      <c r="J170" s="78"/>
      <c r="K170" s="78"/>
      <c r="L170" s="78"/>
      <c r="M170" s="78"/>
      <c r="N170" s="78"/>
      <c r="O170" s="78"/>
      <c r="P170" s="78"/>
      <c r="Q170" s="78"/>
      <c r="R170" s="78"/>
      <c r="S170" s="78"/>
      <c r="T170" s="78"/>
      <c r="U170" s="79"/>
      <c r="V170" s="78"/>
      <c r="W170" s="78"/>
      <c r="X170" s="78"/>
      <c r="Y170" s="67"/>
      <c r="Z170" s="78"/>
      <c r="AA170" s="78"/>
      <c r="AB170" s="78"/>
      <c r="AC170" s="78"/>
      <c r="AD170" s="78"/>
      <c r="AE170" s="78"/>
      <c r="AF170" s="78"/>
      <c r="AG170" s="78"/>
      <c r="AH170" s="78"/>
      <c r="AI170" s="78"/>
    </row>
    <row r="171" spans="1:35">
      <c r="A171" s="78"/>
      <c r="B171" s="78"/>
      <c r="C171" s="78"/>
      <c r="D171" s="78"/>
      <c r="E171" s="78"/>
      <c r="F171" s="78"/>
      <c r="G171" s="78"/>
      <c r="H171" s="78"/>
      <c r="I171" s="78"/>
      <c r="J171" s="78"/>
      <c r="K171" s="78"/>
      <c r="L171" s="78"/>
      <c r="M171" s="78"/>
      <c r="N171" s="78"/>
      <c r="O171" s="78"/>
      <c r="P171" s="78"/>
      <c r="Q171" s="78"/>
      <c r="R171" s="78"/>
      <c r="S171" s="78"/>
      <c r="T171" s="78"/>
      <c r="U171" s="79"/>
      <c r="V171" s="78"/>
      <c r="W171" s="78"/>
      <c r="X171" s="78"/>
      <c r="Y171" s="67"/>
      <c r="Z171" s="78"/>
      <c r="AA171" s="78"/>
      <c r="AB171" s="78"/>
      <c r="AC171" s="78"/>
      <c r="AD171" s="78"/>
      <c r="AE171" s="78"/>
      <c r="AF171" s="78"/>
      <c r="AG171" s="78"/>
      <c r="AH171" s="78"/>
      <c r="AI171" s="78"/>
    </row>
    <row r="172" spans="1:35">
      <c r="A172" s="78"/>
      <c r="B172" s="78"/>
      <c r="C172" s="78"/>
      <c r="D172" s="78"/>
      <c r="E172" s="78"/>
      <c r="F172" s="78"/>
      <c r="G172" s="78"/>
      <c r="H172" s="78"/>
      <c r="I172" s="78"/>
      <c r="J172" s="78"/>
      <c r="K172" s="78"/>
      <c r="L172" s="78"/>
      <c r="M172" s="78"/>
      <c r="N172" s="78"/>
      <c r="O172" s="78"/>
      <c r="P172" s="78"/>
      <c r="Q172" s="78"/>
      <c r="R172" s="78"/>
      <c r="S172" s="78"/>
      <c r="T172" s="78"/>
      <c r="U172" s="79"/>
      <c r="V172" s="78"/>
      <c r="W172" s="78"/>
      <c r="X172" s="78"/>
      <c r="Y172" s="67"/>
      <c r="Z172" s="78"/>
      <c r="AA172" s="78"/>
      <c r="AB172" s="78"/>
      <c r="AC172" s="78"/>
      <c r="AD172" s="78"/>
      <c r="AE172" s="78"/>
      <c r="AF172" s="78"/>
      <c r="AG172" s="78"/>
      <c r="AH172" s="78"/>
      <c r="AI172" s="78"/>
    </row>
    <row r="173" spans="1:35">
      <c r="A173" s="78"/>
      <c r="B173" s="78"/>
      <c r="C173" s="78"/>
      <c r="D173" s="78"/>
      <c r="E173" s="78"/>
      <c r="F173" s="78"/>
      <c r="G173" s="78"/>
      <c r="H173" s="78"/>
      <c r="I173" s="78"/>
      <c r="J173" s="78"/>
      <c r="K173" s="78"/>
      <c r="L173" s="78"/>
      <c r="M173" s="78"/>
      <c r="N173" s="78"/>
      <c r="O173" s="78"/>
      <c r="P173" s="78"/>
      <c r="Q173" s="78"/>
      <c r="R173" s="78"/>
      <c r="S173" s="78"/>
      <c r="T173" s="78"/>
      <c r="U173" s="79"/>
      <c r="V173" s="78"/>
      <c r="W173" s="78"/>
      <c r="X173" s="78"/>
      <c r="Y173" s="67"/>
      <c r="Z173" s="78"/>
      <c r="AA173" s="78"/>
      <c r="AB173" s="78"/>
      <c r="AC173" s="78"/>
      <c r="AD173" s="78"/>
      <c r="AE173" s="78"/>
      <c r="AF173" s="78"/>
      <c r="AG173" s="78"/>
      <c r="AH173" s="78"/>
      <c r="AI173" s="78"/>
    </row>
    <row r="174" spans="1:35">
      <c r="A174" s="78"/>
      <c r="B174" s="78"/>
      <c r="C174" s="78"/>
      <c r="D174" s="78"/>
      <c r="E174" s="78"/>
      <c r="F174" s="78"/>
      <c r="G174" s="78"/>
      <c r="H174" s="78"/>
      <c r="I174" s="78"/>
      <c r="J174" s="78"/>
      <c r="K174" s="78"/>
      <c r="L174" s="78"/>
      <c r="M174" s="78"/>
      <c r="N174" s="78"/>
      <c r="O174" s="78"/>
      <c r="P174" s="78"/>
      <c r="Q174" s="78"/>
      <c r="R174" s="78"/>
      <c r="S174" s="78"/>
      <c r="T174" s="78"/>
      <c r="U174" s="79"/>
      <c r="V174" s="78"/>
      <c r="W174" s="78"/>
      <c r="X174" s="78"/>
      <c r="Y174" s="67"/>
      <c r="Z174" s="78"/>
      <c r="AA174" s="78"/>
      <c r="AB174" s="78"/>
      <c r="AC174" s="78"/>
      <c r="AD174" s="78"/>
      <c r="AE174" s="78"/>
      <c r="AF174" s="78"/>
      <c r="AG174" s="78"/>
      <c r="AH174" s="78"/>
      <c r="AI174" s="78"/>
    </row>
    <row r="175" spans="1:35">
      <c r="A175" s="78"/>
      <c r="B175" s="78"/>
      <c r="C175" s="78"/>
      <c r="D175" s="78"/>
      <c r="E175" s="78"/>
      <c r="F175" s="78"/>
      <c r="G175" s="78"/>
      <c r="H175" s="78"/>
      <c r="I175" s="78"/>
      <c r="J175" s="78"/>
      <c r="K175" s="78"/>
      <c r="L175" s="78"/>
      <c r="M175" s="78"/>
      <c r="N175" s="78"/>
      <c r="O175" s="78"/>
      <c r="P175" s="78"/>
      <c r="Q175" s="78"/>
      <c r="R175" s="78"/>
      <c r="S175" s="78"/>
      <c r="T175" s="78"/>
      <c r="U175" s="79"/>
      <c r="V175" s="78"/>
      <c r="W175" s="78"/>
      <c r="X175" s="78"/>
      <c r="Y175" s="67"/>
      <c r="Z175" s="78"/>
      <c r="AA175" s="78"/>
      <c r="AB175" s="78"/>
      <c r="AC175" s="78"/>
      <c r="AD175" s="78"/>
      <c r="AE175" s="78"/>
      <c r="AF175" s="78"/>
      <c r="AG175" s="78"/>
      <c r="AH175" s="78"/>
      <c r="AI175" s="78"/>
    </row>
    <row r="176" spans="1:35">
      <c r="A176" s="78"/>
      <c r="B176" s="78"/>
      <c r="C176" s="78"/>
      <c r="D176" s="78"/>
      <c r="E176" s="78"/>
      <c r="F176" s="78"/>
      <c r="G176" s="78"/>
      <c r="H176" s="78"/>
      <c r="I176" s="78"/>
      <c r="J176" s="78"/>
      <c r="K176" s="78"/>
      <c r="L176" s="78"/>
      <c r="M176" s="78"/>
      <c r="N176" s="78"/>
      <c r="O176" s="78"/>
      <c r="P176" s="78"/>
      <c r="Q176" s="78"/>
      <c r="R176" s="78"/>
      <c r="S176" s="78"/>
      <c r="T176" s="78"/>
      <c r="U176" s="79"/>
      <c r="V176" s="78"/>
      <c r="W176" s="78"/>
      <c r="X176" s="78"/>
      <c r="Y176" s="67"/>
      <c r="Z176" s="78"/>
      <c r="AA176" s="78"/>
      <c r="AB176" s="78"/>
      <c r="AC176" s="78"/>
      <c r="AD176" s="78"/>
      <c r="AE176" s="78"/>
      <c r="AF176" s="78"/>
      <c r="AG176" s="78"/>
      <c r="AH176" s="78"/>
      <c r="AI176" s="78"/>
    </row>
    <row r="177" spans="1:35">
      <c r="A177" s="78"/>
      <c r="B177" s="78"/>
      <c r="C177" s="78"/>
      <c r="D177" s="78"/>
      <c r="E177" s="78"/>
      <c r="F177" s="78"/>
      <c r="G177" s="78"/>
      <c r="H177" s="78"/>
      <c r="I177" s="78"/>
      <c r="J177" s="78"/>
      <c r="K177" s="78"/>
      <c r="L177" s="78"/>
      <c r="M177" s="78"/>
      <c r="N177" s="78"/>
      <c r="O177" s="78"/>
      <c r="P177" s="78"/>
      <c r="Q177" s="78"/>
      <c r="R177" s="78"/>
      <c r="S177" s="78"/>
      <c r="T177" s="78"/>
      <c r="U177" s="79"/>
      <c r="V177" s="78"/>
      <c r="W177" s="78"/>
      <c r="X177" s="78"/>
      <c r="Y177" s="67"/>
      <c r="Z177" s="78"/>
      <c r="AA177" s="78"/>
      <c r="AB177" s="78"/>
      <c r="AC177" s="78"/>
      <c r="AD177" s="78"/>
      <c r="AE177" s="78"/>
      <c r="AF177" s="78"/>
      <c r="AG177" s="78"/>
      <c r="AH177" s="78"/>
      <c r="AI177" s="78"/>
    </row>
    <row r="178" spans="1:35">
      <c r="A178" s="78"/>
      <c r="B178" s="78"/>
      <c r="C178" s="78"/>
      <c r="D178" s="78"/>
      <c r="E178" s="78"/>
      <c r="F178" s="78"/>
      <c r="G178" s="78"/>
      <c r="H178" s="78"/>
      <c r="I178" s="78"/>
      <c r="J178" s="78"/>
      <c r="K178" s="78"/>
      <c r="L178" s="78"/>
      <c r="M178" s="78"/>
      <c r="N178" s="78"/>
      <c r="O178" s="78"/>
      <c r="P178" s="78"/>
      <c r="Q178" s="78"/>
      <c r="R178" s="78"/>
      <c r="S178" s="78"/>
      <c r="T178" s="78"/>
      <c r="U178" s="79"/>
      <c r="V178" s="78"/>
      <c r="W178" s="78"/>
      <c r="X178" s="78"/>
      <c r="Y178" s="67"/>
      <c r="Z178" s="78"/>
      <c r="AA178" s="78"/>
      <c r="AB178" s="78"/>
      <c r="AC178" s="78"/>
      <c r="AD178" s="78"/>
      <c r="AE178" s="78"/>
      <c r="AF178" s="78"/>
      <c r="AG178" s="78"/>
      <c r="AH178" s="78"/>
      <c r="AI178" s="78"/>
    </row>
    <row r="179" spans="1:35">
      <c r="A179" s="78"/>
      <c r="B179" s="78"/>
      <c r="C179" s="78"/>
      <c r="D179" s="78"/>
      <c r="E179" s="78"/>
      <c r="F179" s="78"/>
      <c r="G179" s="78"/>
      <c r="H179" s="78"/>
      <c r="I179" s="78"/>
      <c r="J179" s="78"/>
      <c r="K179" s="78"/>
      <c r="L179" s="78"/>
      <c r="M179" s="78"/>
      <c r="N179" s="78"/>
      <c r="O179" s="78"/>
      <c r="P179" s="78"/>
      <c r="Q179" s="78"/>
      <c r="R179" s="78"/>
      <c r="S179" s="78"/>
      <c r="T179" s="78"/>
      <c r="U179" s="79"/>
      <c r="V179" s="78"/>
      <c r="W179" s="78"/>
      <c r="X179" s="78"/>
      <c r="Y179" s="67"/>
      <c r="Z179" s="78"/>
      <c r="AA179" s="78"/>
      <c r="AB179" s="78"/>
      <c r="AC179" s="78"/>
      <c r="AD179" s="78"/>
      <c r="AE179" s="78"/>
      <c r="AF179" s="78"/>
      <c r="AG179" s="78"/>
      <c r="AH179" s="78"/>
      <c r="AI179" s="78"/>
    </row>
    <row r="180" spans="1:35">
      <c r="A180" s="78"/>
      <c r="B180" s="78"/>
      <c r="C180" s="78"/>
      <c r="D180" s="78"/>
      <c r="E180" s="78"/>
      <c r="F180" s="78"/>
      <c r="G180" s="78"/>
      <c r="H180" s="78"/>
      <c r="I180" s="78"/>
      <c r="J180" s="78"/>
      <c r="K180" s="78"/>
      <c r="L180" s="78"/>
      <c r="M180" s="78"/>
      <c r="N180" s="78"/>
      <c r="O180" s="78"/>
      <c r="P180" s="78"/>
      <c r="Q180" s="78"/>
      <c r="R180" s="78"/>
      <c r="S180" s="78"/>
      <c r="T180" s="78"/>
      <c r="U180" s="79"/>
      <c r="V180" s="78"/>
      <c r="W180" s="78"/>
      <c r="X180" s="78"/>
      <c r="Y180" s="67"/>
      <c r="Z180" s="78"/>
      <c r="AA180" s="78"/>
      <c r="AB180" s="78"/>
      <c r="AC180" s="78"/>
      <c r="AD180" s="78"/>
      <c r="AE180" s="78"/>
      <c r="AF180" s="78"/>
      <c r="AG180" s="78"/>
      <c r="AH180" s="78"/>
      <c r="AI180" s="78"/>
    </row>
    <row r="181" spans="1:35">
      <c r="A181" s="78"/>
      <c r="B181" s="78"/>
      <c r="C181" s="78"/>
      <c r="D181" s="78"/>
      <c r="E181" s="78"/>
      <c r="F181" s="78"/>
      <c r="G181" s="78"/>
      <c r="H181" s="78"/>
      <c r="I181" s="78"/>
      <c r="J181" s="78"/>
      <c r="K181" s="78"/>
      <c r="L181" s="78"/>
      <c r="M181" s="78"/>
      <c r="N181" s="78"/>
      <c r="O181" s="78"/>
      <c r="P181" s="78"/>
      <c r="Q181" s="78"/>
      <c r="R181" s="78"/>
      <c r="S181" s="78"/>
      <c r="T181" s="78"/>
      <c r="U181" s="79"/>
      <c r="V181" s="78"/>
      <c r="W181" s="78"/>
      <c r="X181" s="78"/>
      <c r="Y181" s="67"/>
      <c r="Z181" s="78"/>
      <c r="AA181" s="78"/>
      <c r="AB181" s="78"/>
      <c r="AC181" s="78"/>
      <c r="AD181" s="78"/>
      <c r="AE181" s="78"/>
      <c r="AF181" s="78"/>
      <c r="AG181" s="78"/>
      <c r="AH181" s="78"/>
      <c r="AI181" s="78"/>
    </row>
    <row r="182" spans="1:35">
      <c r="A182" s="78"/>
      <c r="B182" s="78"/>
      <c r="C182" s="78"/>
      <c r="D182" s="78"/>
      <c r="E182" s="78"/>
      <c r="F182" s="78"/>
      <c r="G182" s="78"/>
      <c r="H182" s="78"/>
      <c r="I182" s="78"/>
      <c r="J182" s="78"/>
      <c r="K182" s="78"/>
      <c r="L182" s="78"/>
      <c r="M182" s="78"/>
      <c r="N182" s="78"/>
      <c r="O182" s="78"/>
      <c r="P182" s="78"/>
      <c r="Q182" s="78"/>
      <c r="R182" s="78"/>
      <c r="S182" s="78"/>
      <c r="T182" s="78"/>
      <c r="U182" s="79"/>
      <c r="V182" s="78"/>
      <c r="W182" s="78"/>
      <c r="X182" s="78"/>
      <c r="Y182" s="67"/>
      <c r="Z182" s="78"/>
      <c r="AA182" s="78"/>
      <c r="AB182" s="78"/>
      <c r="AC182" s="78"/>
      <c r="AD182" s="78"/>
      <c r="AE182" s="78"/>
      <c r="AF182" s="78"/>
      <c r="AG182" s="78"/>
      <c r="AH182" s="78"/>
      <c r="AI182" s="78"/>
    </row>
    <row r="183" spans="1:35">
      <c r="A183" s="78"/>
      <c r="B183" s="78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78"/>
      <c r="N183" s="78"/>
      <c r="O183" s="78"/>
      <c r="P183" s="78"/>
      <c r="Q183" s="78"/>
      <c r="R183" s="78"/>
      <c r="S183" s="78"/>
      <c r="T183" s="78"/>
      <c r="U183" s="79"/>
      <c r="V183" s="78"/>
      <c r="W183" s="78"/>
      <c r="X183" s="78"/>
      <c r="Y183" s="67"/>
      <c r="Z183" s="78"/>
      <c r="AA183" s="78"/>
      <c r="AB183" s="78"/>
      <c r="AC183" s="78"/>
      <c r="AD183" s="78"/>
      <c r="AE183" s="78"/>
      <c r="AF183" s="78"/>
      <c r="AG183" s="78"/>
      <c r="AH183" s="78"/>
      <c r="AI183" s="78"/>
    </row>
    <row r="184" spans="1:35">
      <c r="A184" s="78"/>
      <c r="B184" s="78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78"/>
      <c r="N184" s="78"/>
      <c r="O184" s="78"/>
      <c r="P184" s="78"/>
      <c r="Q184" s="78"/>
      <c r="R184" s="78"/>
      <c r="S184" s="78"/>
      <c r="T184" s="78"/>
      <c r="U184" s="79"/>
      <c r="V184" s="78"/>
      <c r="W184" s="78"/>
      <c r="X184" s="78"/>
      <c r="Y184" s="67"/>
      <c r="Z184" s="78"/>
      <c r="AA184" s="78"/>
      <c r="AB184" s="78"/>
      <c r="AC184" s="78"/>
      <c r="AD184" s="78"/>
      <c r="AE184" s="78"/>
      <c r="AF184" s="78"/>
      <c r="AG184" s="78"/>
      <c r="AH184" s="78"/>
      <c r="AI184" s="78"/>
    </row>
    <row r="185" spans="1:35">
      <c r="A185" s="78"/>
      <c r="B185" s="78"/>
      <c r="C185" s="78"/>
      <c r="D185" s="78"/>
      <c r="E185" s="78"/>
      <c r="F185" s="78"/>
      <c r="G185" s="78"/>
      <c r="H185" s="78"/>
      <c r="I185" s="78"/>
      <c r="J185" s="78"/>
      <c r="K185" s="78"/>
      <c r="L185" s="78"/>
      <c r="M185" s="78"/>
      <c r="N185" s="78"/>
      <c r="O185" s="78"/>
      <c r="P185" s="78"/>
      <c r="Q185" s="78"/>
      <c r="R185" s="78"/>
      <c r="S185" s="78"/>
      <c r="T185" s="78"/>
      <c r="U185" s="79"/>
      <c r="V185" s="78"/>
      <c r="W185" s="78"/>
      <c r="X185" s="78"/>
      <c r="Y185" s="67"/>
      <c r="Z185" s="78"/>
      <c r="AA185" s="78"/>
      <c r="AB185" s="78"/>
      <c r="AC185" s="78"/>
      <c r="AD185" s="78"/>
      <c r="AE185" s="78"/>
      <c r="AF185" s="78"/>
      <c r="AG185" s="78"/>
      <c r="AH185" s="78"/>
      <c r="AI185" s="78"/>
    </row>
    <row r="186" spans="1:35">
      <c r="A186" s="78"/>
      <c r="B186" s="78"/>
      <c r="C186" s="78"/>
      <c r="D186" s="78"/>
      <c r="E186" s="78"/>
      <c r="F186" s="78"/>
      <c r="G186" s="78"/>
      <c r="H186" s="78"/>
      <c r="I186" s="78"/>
      <c r="J186" s="78"/>
      <c r="K186" s="78"/>
      <c r="L186" s="78"/>
      <c r="M186" s="78"/>
      <c r="N186" s="78"/>
      <c r="O186" s="78"/>
      <c r="P186" s="78"/>
      <c r="Q186" s="78"/>
      <c r="R186" s="78"/>
      <c r="S186" s="78"/>
      <c r="T186" s="78"/>
      <c r="U186" s="79"/>
      <c r="V186" s="78"/>
      <c r="W186" s="78"/>
      <c r="X186" s="78"/>
      <c r="Y186" s="67"/>
      <c r="Z186" s="78"/>
      <c r="AA186" s="78"/>
      <c r="AB186" s="78"/>
      <c r="AC186" s="78"/>
      <c r="AD186" s="78"/>
      <c r="AE186" s="78"/>
      <c r="AF186" s="78"/>
      <c r="AG186" s="78"/>
      <c r="AH186" s="78"/>
      <c r="AI186" s="78"/>
    </row>
    <row r="187" spans="1:35">
      <c r="A187" s="78"/>
      <c r="B187" s="78"/>
      <c r="C187" s="78"/>
      <c r="D187" s="78"/>
      <c r="E187" s="78"/>
      <c r="F187" s="78"/>
      <c r="G187" s="78"/>
      <c r="H187" s="78"/>
      <c r="I187" s="78"/>
      <c r="J187" s="78"/>
      <c r="K187" s="78"/>
      <c r="L187" s="78"/>
      <c r="M187" s="78"/>
      <c r="N187" s="78"/>
      <c r="O187" s="78"/>
      <c r="P187" s="78"/>
      <c r="Q187" s="78"/>
      <c r="R187" s="78"/>
      <c r="S187" s="78"/>
      <c r="T187" s="78"/>
      <c r="U187" s="79"/>
      <c r="V187" s="78"/>
      <c r="W187" s="78"/>
      <c r="X187" s="78"/>
      <c r="Y187" s="67"/>
      <c r="Z187" s="78"/>
      <c r="AA187" s="78"/>
      <c r="AB187" s="78"/>
      <c r="AC187" s="78"/>
      <c r="AD187" s="78"/>
      <c r="AE187" s="78"/>
      <c r="AF187" s="78"/>
      <c r="AG187" s="78"/>
      <c r="AH187" s="78"/>
      <c r="AI187" s="78"/>
    </row>
    <row r="188" spans="1:35">
      <c r="A188" s="78"/>
      <c r="B188" s="78"/>
      <c r="C188" s="78"/>
      <c r="D188" s="78"/>
      <c r="E188" s="78"/>
      <c r="F188" s="78"/>
      <c r="G188" s="78"/>
      <c r="H188" s="78"/>
      <c r="I188" s="78"/>
      <c r="J188" s="78"/>
      <c r="K188" s="78"/>
      <c r="L188" s="78"/>
      <c r="M188" s="78"/>
      <c r="N188" s="78"/>
      <c r="O188" s="78"/>
      <c r="P188" s="78"/>
      <c r="Q188" s="78"/>
      <c r="R188" s="78"/>
      <c r="S188" s="78"/>
      <c r="T188" s="78"/>
      <c r="U188" s="79"/>
      <c r="V188" s="78"/>
      <c r="W188" s="78"/>
      <c r="X188" s="78"/>
      <c r="Y188" s="67"/>
      <c r="Z188" s="78"/>
      <c r="AA188" s="78"/>
      <c r="AB188" s="78"/>
      <c r="AC188" s="78"/>
      <c r="AD188" s="78"/>
      <c r="AE188" s="78"/>
      <c r="AF188" s="78"/>
      <c r="AG188" s="78"/>
      <c r="AH188" s="78"/>
      <c r="AI188" s="78"/>
    </row>
    <row r="189" spans="1:35">
      <c r="A189" s="78"/>
      <c r="B189" s="78"/>
      <c r="C189" s="78"/>
      <c r="D189" s="78"/>
      <c r="E189" s="78"/>
      <c r="F189" s="78"/>
      <c r="G189" s="78"/>
      <c r="H189" s="78"/>
      <c r="I189" s="78"/>
      <c r="J189" s="78"/>
      <c r="K189" s="78"/>
      <c r="L189" s="78"/>
      <c r="M189" s="78"/>
      <c r="N189" s="78"/>
      <c r="O189" s="78"/>
      <c r="P189" s="78"/>
      <c r="Q189" s="78"/>
      <c r="R189" s="78"/>
      <c r="S189" s="78"/>
      <c r="T189" s="78"/>
      <c r="U189" s="79"/>
      <c r="V189" s="78"/>
      <c r="W189" s="78"/>
      <c r="X189" s="78"/>
      <c r="Y189" s="67"/>
      <c r="Z189" s="78"/>
      <c r="AA189" s="78"/>
      <c r="AB189" s="78"/>
      <c r="AC189" s="78"/>
      <c r="AD189" s="78"/>
      <c r="AE189" s="78"/>
      <c r="AF189" s="78"/>
      <c r="AG189" s="78"/>
      <c r="AH189" s="78"/>
      <c r="AI189" s="78"/>
    </row>
    <row r="190" spans="1:35">
      <c r="A190" s="78"/>
      <c r="B190" s="78"/>
      <c r="C190" s="78"/>
      <c r="D190" s="78"/>
      <c r="E190" s="78"/>
      <c r="F190" s="78"/>
      <c r="G190" s="78"/>
      <c r="H190" s="78"/>
      <c r="I190" s="78"/>
      <c r="J190" s="78"/>
      <c r="K190" s="78"/>
      <c r="L190" s="78"/>
      <c r="M190" s="78"/>
      <c r="N190" s="78"/>
      <c r="O190" s="78"/>
      <c r="P190" s="78"/>
      <c r="Q190" s="78"/>
      <c r="R190" s="78"/>
      <c r="S190" s="78"/>
      <c r="T190" s="78"/>
      <c r="U190" s="79"/>
      <c r="V190" s="78"/>
      <c r="W190" s="78"/>
      <c r="X190" s="78"/>
      <c r="Y190" s="67"/>
      <c r="Z190" s="78"/>
      <c r="AA190" s="78"/>
      <c r="AB190" s="78"/>
      <c r="AC190" s="78"/>
      <c r="AD190" s="78"/>
      <c r="AE190" s="78"/>
      <c r="AF190" s="78"/>
      <c r="AG190" s="78"/>
      <c r="AH190" s="78"/>
      <c r="AI190" s="78"/>
    </row>
    <row r="191" spans="1:35">
      <c r="A191" s="78"/>
      <c r="B191" s="78"/>
      <c r="C191" s="78"/>
      <c r="D191" s="78"/>
      <c r="E191" s="78"/>
      <c r="F191" s="78"/>
      <c r="G191" s="78"/>
      <c r="H191" s="78"/>
      <c r="I191" s="78"/>
      <c r="J191" s="78"/>
      <c r="K191" s="78"/>
      <c r="L191" s="78"/>
      <c r="M191" s="78"/>
      <c r="N191" s="78"/>
      <c r="O191" s="78"/>
      <c r="P191" s="78"/>
      <c r="Q191" s="78"/>
      <c r="R191" s="78"/>
      <c r="S191" s="78"/>
      <c r="T191" s="78"/>
      <c r="U191" s="79"/>
      <c r="V191" s="78"/>
      <c r="W191" s="78"/>
      <c r="X191" s="78"/>
      <c r="Y191" s="67"/>
      <c r="Z191" s="78"/>
      <c r="AA191" s="78"/>
      <c r="AB191" s="78"/>
      <c r="AC191" s="78"/>
      <c r="AD191" s="78"/>
      <c r="AE191" s="78"/>
      <c r="AF191" s="78"/>
      <c r="AG191" s="78"/>
      <c r="AH191" s="78"/>
      <c r="AI191" s="78"/>
    </row>
    <row r="192" spans="1:35">
      <c r="A192" s="78"/>
      <c r="B192" s="78"/>
      <c r="C192" s="78"/>
      <c r="D192" s="78"/>
      <c r="E192" s="78"/>
      <c r="F192" s="78"/>
      <c r="G192" s="78"/>
      <c r="H192" s="78"/>
      <c r="I192" s="78"/>
      <c r="J192" s="78"/>
      <c r="K192" s="78"/>
      <c r="L192" s="78"/>
      <c r="M192" s="78"/>
      <c r="N192" s="78"/>
      <c r="O192" s="78"/>
      <c r="P192" s="78"/>
      <c r="Q192" s="78"/>
      <c r="R192" s="78"/>
      <c r="S192" s="78"/>
      <c r="T192" s="78"/>
      <c r="U192" s="79"/>
      <c r="V192" s="78"/>
      <c r="W192" s="78"/>
      <c r="X192" s="78"/>
      <c r="Y192" s="67"/>
      <c r="Z192" s="78"/>
      <c r="AA192" s="78"/>
      <c r="AB192" s="78"/>
      <c r="AC192" s="78"/>
      <c r="AD192" s="78"/>
      <c r="AE192" s="78"/>
      <c r="AF192" s="78"/>
      <c r="AG192" s="78"/>
      <c r="AH192" s="78"/>
      <c r="AI192" s="78"/>
    </row>
    <row r="193" spans="1:35">
      <c r="A193" s="78"/>
      <c r="B193" s="78"/>
      <c r="C193" s="78"/>
      <c r="D193" s="78"/>
      <c r="E193" s="78"/>
      <c r="F193" s="78"/>
      <c r="G193" s="78"/>
      <c r="H193" s="78"/>
      <c r="I193" s="78"/>
      <c r="J193" s="78"/>
      <c r="K193" s="78"/>
      <c r="L193" s="78"/>
      <c r="M193" s="78"/>
      <c r="N193" s="78"/>
      <c r="O193" s="78"/>
      <c r="P193" s="78"/>
      <c r="Q193" s="78"/>
      <c r="R193" s="78"/>
      <c r="S193" s="78"/>
      <c r="T193" s="78"/>
      <c r="U193" s="79"/>
      <c r="V193" s="78"/>
      <c r="W193" s="78"/>
      <c r="X193" s="78"/>
      <c r="Y193" s="67"/>
      <c r="Z193" s="78"/>
      <c r="AA193" s="78"/>
      <c r="AB193" s="78"/>
      <c r="AC193" s="78"/>
      <c r="AD193" s="78"/>
      <c r="AE193" s="78"/>
      <c r="AF193" s="78"/>
      <c r="AG193" s="78"/>
      <c r="AH193" s="78"/>
      <c r="AI193" s="78"/>
    </row>
    <row r="194" spans="1:35">
      <c r="A194" s="78"/>
      <c r="B194" s="78"/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78"/>
      <c r="N194" s="78"/>
      <c r="O194" s="78"/>
      <c r="P194" s="78"/>
      <c r="Q194" s="78"/>
      <c r="R194" s="78"/>
      <c r="S194" s="78"/>
      <c r="T194" s="78"/>
      <c r="U194" s="79"/>
      <c r="V194" s="78"/>
      <c r="W194" s="78"/>
      <c r="X194" s="78"/>
      <c r="Y194" s="67"/>
      <c r="Z194" s="78"/>
      <c r="AA194" s="78"/>
      <c r="AB194" s="78"/>
      <c r="AC194" s="78"/>
      <c r="AD194" s="78"/>
      <c r="AE194" s="78"/>
      <c r="AF194" s="78"/>
      <c r="AG194" s="78"/>
      <c r="AH194" s="78"/>
      <c r="AI194" s="78"/>
    </row>
    <row r="195" spans="1:35">
      <c r="A195" s="78"/>
      <c r="B195" s="78"/>
      <c r="C195" s="78"/>
      <c r="D195" s="78"/>
      <c r="E195" s="78"/>
      <c r="F195" s="78"/>
      <c r="G195" s="78"/>
      <c r="H195" s="78"/>
      <c r="I195" s="78"/>
      <c r="J195" s="78"/>
      <c r="K195" s="78"/>
      <c r="L195" s="78"/>
      <c r="M195" s="78"/>
      <c r="N195" s="78"/>
      <c r="O195" s="78"/>
      <c r="P195" s="78"/>
      <c r="Q195" s="78"/>
      <c r="R195" s="78"/>
      <c r="S195" s="78"/>
      <c r="T195" s="78"/>
      <c r="U195" s="79"/>
      <c r="V195" s="78"/>
      <c r="W195" s="78"/>
      <c r="X195" s="78"/>
      <c r="Y195" s="67"/>
      <c r="Z195" s="78"/>
      <c r="AA195" s="78"/>
      <c r="AB195" s="78"/>
      <c r="AC195" s="78"/>
      <c r="AD195" s="78"/>
      <c r="AE195" s="78"/>
      <c r="AF195" s="78"/>
      <c r="AG195" s="78"/>
      <c r="AH195" s="78"/>
      <c r="AI195" s="78"/>
    </row>
    <row r="196" spans="1:35">
      <c r="A196" s="78"/>
      <c r="B196" s="78"/>
      <c r="C196" s="78"/>
      <c r="D196" s="78"/>
      <c r="E196" s="78"/>
      <c r="F196" s="78"/>
      <c r="G196" s="78"/>
      <c r="H196" s="78"/>
      <c r="I196" s="78"/>
      <c r="J196" s="78"/>
      <c r="K196" s="78"/>
      <c r="L196" s="78"/>
      <c r="M196" s="78"/>
      <c r="N196" s="78"/>
      <c r="O196" s="78"/>
      <c r="P196" s="78"/>
      <c r="Q196" s="78"/>
      <c r="R196" s="78"/>
      <c r="S196" s="78"/>
      <c r="T196" s="78"/>
      <c r="U196" s="79"/>
      <c r="V196" s="78"/>
      <c r="W196" s="78"/>
      <c r="X196" s="78"/>
      <c r="Y196" s="67"/>
      <c r="Z196" s="78"/>
      <c r="AA196" s="78"/>
      <c r="AB196" s="78"/>
      <c r="AC196" s="78"/>
      <c r="AD196" s="78"/>
      <c r="AE196" s="78"/>
      <c r="AF196" s="78"/>
      <c r="AG196" s="78"/>
      <c r="AH196" s="78"/>
      <c r="AI196" s="78"/>
    </row>
    <row r="197" spans="1:35">
      <c r="A197" s="78"/>
      <c r="B197" s="78"/>
      <c r="C197" s="78"/>
      <c r="D197" s="78"/>
      <c r="E197" s="78"/>
      <c r="F197" s="78"/>
      <c r="G197" s="78"/>
      <c r="H197" s="78"/>
      <c r="I197" s="78"/>
      <c r="J197" s="78"/>
      <c r="K197" s="78"/>
      <c r="L197" s="78"/>
      <c r="M197" s="78"/>
      <c r="N197" s="78"/>
      <c r="O197" s="78"/>
      <c r="P197" s="78"/>
      <c r="Q197" s="78"/>
      <c r="R197" s="78"/>
      <c r="S197" s="78"/>
      <c r="T197" s="78"/>
      <c r="U197" s="79"/>
      <c r="V197" s="78"/>
      <c r="W197" s="78"/>
      <c r="X197" s="78"/>
      <c r="Y197" s="67"/>
      <c r="Z197" s="78"/>
      <c r="AA197" s="78"/>
      <c r="AB197" s="78"/>
      <c r="AC197" s="78"/>
      <c r="AD197" s="78"/>
      <c r="AE197" s="78"/>
      <c r="AF197" s="78"/>
      <c r="AG197" s="78"/>
      <c r="AH197" s="78"/>
      <c r="AI197" s="78"/>
    </row>
    <row r="198" spans="1:35">
      <c r="A198" s="78"/>
      <c r="B198" s="78"/>
      <c r="C198" s="78"/>
      <c r="D198" s="78"/>
      <c r="E198" s="78"/>
      <c r="F198" s="78"/>
      <c r="G198" s="78"/>
      <c r="H198" s="78"/>
      <c r="I198" s="78"/>
      <c r="J198" s="78"/>
      <c r="K198" s="78"/>
      <c r="L198" s="78"/>
      <c r="M198" s="78"/>
      <c r="N198" s="78"/>
      <c r="O198" s="78"/>
      <c r="P198" s="78"/>
      <c r="Q198" s="78"/>
      <c r="R198" s="78"/>
      <c r="S198" s="78"/>
      <c r="T198" s="78"/>
      <c r="U198" s="79"/>
      <c r="V198" s="78"/>
      <c r="W198" s="78"/>
      <c r="X198" s="78"/>
      <c r="Y198" s="67"/>
      <c r="Z198" s="78"/>
      <c r="AA198" s="78"/>
      <c r="AB198" s="78"/>
      <c r="AC198" s="78"/>
      <c r="AD198" s="78"/>
      <c r="AE198" s="78"/>
      <c r="AF198" s="78"/>
      <c r="AG198" s="78"/>
      <c r="AH198" s="78"/>
      <c r="AI198" s="78"/>
    </row>
    <row r="199" spans="1:35">
      <c r="A199" s="78"/>
      <c r="B199" s="78"/>
      <c r="C199" s="78"/>
      <c r="D199" s="78"/>
      <c r="E199" s="78"/>
      <c r="F199" s="78"/>
      <c r="G199" s="78"/>
      <c r="H199" s="78"/>
      <c r="I199" s="78"/>
      <c r="J199" s="78"/>
      <c r="K199" s="78"/>
      <c r="L199" s="78"/>
      <c r="M199" s="78"/>
      <c r="N199" s="78"/>
      <c r="O199" s="78"/>
      <c r="P199" s="78"/>
      <c r="Q199" s="78"/>
      <c r="R199" s="78"/>
      <c r="S199" s="78"/>
      <c r="T199" s="78"/>
      <c r="U199" s="79"/>
      <c r="V199" s="78"/>
      <c r="W199" s="78"/>
      <c r="X199" s="78"/>
      <c r="Y199" s="67"/>
      <c r="Z199" s="78"/>
      <c r="AA199" s="78"/>
      <c r="AB199" s="78"/>
      <c r="AC199" s="78"/>
      <c r="AD199" s="78"/>
      <c r="AE199" s="78"/>
      <c r="AF199" s="78"/>
      <c r="AG199" s="78"/>
      <c r="AH199" s="78"/>
      <c r="AI199" s="78"/>
    </row>
    <row r="200" spans="1:35">
      <c r="A200" s="78"/>
      <c r="B200" s="78"/>
      <c r="C200" s="78"/>
      <c r="D200" s="78"/>
      <c r="E200" s="78"/>
      <c r="F200" s="78"/>
      <c r="G200" s="78"/>
      <c r="H200" s="78"/>
      <c r="I200" s="78"/>
      <c r="J200" s="78"/>
      <c r="K200" s="78"/>
      <c r="L200" s="78"/>
      <c r="M200" s="78"/>
      <c r="N200" s="78"/>
      <c r="O200" s="78"/>
      <c r="P200" s="78"/>
      <c r="Q200" s="78"/>
      <c r="R200" s="78"/>
      <c r="S200" s="78"/>
      <c r="T200" s="78"/>
      <c r="U200" s="79"/>
      <c r="V200" s="78"/>
      <c r="W200" s="78"/>
      <c r="X200" s="78"/>
      <c r="Y200" s="67"/>
      <c r="Z200" s="78"/>
      <c r="AA200" s="78"/>
      <c r="AB200" s="78"/>
      <c r="AC200" s="78"/>
      <c r="AD200" s="78"/>
      <c r="AE200" s="78"/>
      <c r="AF200" s="78"/>
      <c r="AG200" s="78"/>
      <c r="AH200" s="78"/>
      <c r="AI200" s="78"/>
    </row>
    <row r="201" spans="1:35">
      <c r="A201" s="78"/>
      <c r="B201" s="78"/>
      <c r="C201" s="78"/>
      <c r="D201" s="78"/>
      <c r="E201" s="78"/>
      <c r="F201" s="78"/>
      <c r="G201" s="78"/>
      <c r="H201" s="78"/>
      <c r="I201" s="78"/>
      <c r="J201" s="78"/>
      <c r="K201" s="78"/>
      <c r="L201" s="78"/>
      <c r="M201" s="78"/>
      <c r="N201" s="78"/>
      <c r="O201" s="78"/>
      <c r="P201" s="78"/>
      <c r="Q201" s="78"/>
      <c r="R201" s="78"/>
      <c r="S201" s="78"/>
      <c r="T201" s="78"/>
      <c r="U201" s="79"/>
      <c r="V201" s="78"/>
      <c r="W201" s="78"/>
      <c r="X201" s="78"/>
      <c r="Y201" s="67"/>
      <c r="Z201" s="78"/>
      <c r="AA201" s="78"/>
      <c r="AB201" s="78"/>
      <c r="AC201" s="78"/>
      <c r="AD201" s="78"/>
      <c r="AE201" s="78"/>
      <c r="AF201" s="78"/>
      <c r="AG201" s="78"/>
      <c r="AH201" s="78"/>
      <c r="AI201" s="78"/>
    </row>
    <row r="202" spans="1:35">
      <c r="A202" s="78"/>
      <c r="B202" s="78"/>
      <c r="C202" s="78"/>
      <c r="D202" s="78"/>
      <c r="E202" s="78"/>
      <c r="F202" s="78"/>
      <c r="G202" s="78"/>
      <c r="H202" s="78"/>
      <c r="I202" s="78"/>
      <c r="J202" s="78"/>
      <c r="K202" s="78"/>
      <c r="L202" s="78"/>
      <c r="M202" s="78"/>
      <c r="N202" s="78"/>
      <c r="O202" s="78"/>
      <c r="P202" s="78"/>
      <c r="Q202" s="78"/>
      <c r="R202" s="78"/>
      <c r="S202" s="78"/>
      <c r="T202" s="78"/>
      <c r="U202" s="79"/>
      <c r="V202" s="78"/>
      <c r="W202" s="78"/>
      <c r="X202" s="78"/>
      <c r="Y202" s="67"/>
      <c r="Z202" s="78"/>
      <c r="AA202" s="78"/>
      <c r="AB202" s="78"/>
      <c r="AC202" s="78"/>
      <c r="AD202" s="78"/>
      <c r="AE202" s="78"/>
      <c r="AF202" s="78"/>
      <c r="AG202" s="78"/>
      <c r="AH202" s="78"/>
      <c r="AI202" s="78"/>
    </row>
    <row r="203" spans="1:35">
      <c r="A203" s="78"/>
      <c r="B203" s="78"/>
      <c r="C203" s="78"/>
      <c r="D203" s="78"/>
      <c r="E203" s="78"/>
      <c r="F203" s="78"/>
      <c r="G203" s="78"/>
      <c r="H203" s="78"/>
      <c r="I203" s="78"/>
      <c r="J203" s="78"/>
      <c r="K203" s="78"/>
      <c r="L203" s="78"/>
      <c r="M203" s="78"/>
      <c r="N203" s="78"/>
      <c r="O203" s="78"/>
      <c r="P203" s="78"/>
      <c r="Q203" s="78"/>
      <c r="R203" s="78"/>
      <c r="S203" s="78"/>
      <c r="T203" s="78"/>
      <c r="U203" s="79"/>
      <c r="V203" s="78"/>
      <c r="W203" s="78"/>
      <c r="X203" s="78"/>
      <c r="Y203" s="67"/>
      <c r="Z203" s="78"/>
      <c r="AA203" s="78"/>
      <c r="AB203" s="78"/>
      <c r="AC203" s="78"/>
      <c r="AD203" s="78"/>
      <c r="AE203" s="78"/>
      <c r="AF203" s="78"/>
      <c r="AG203" s="78"/>
      <c r="AH203" s="78"/>
      <c r="AI203" s="78"/>
    </row>
    <row r="204" spans="1:35">
      <c r="A204" s="78"/>
      <c r="B204" s="78"/>
      <c r="C204" s="78"/>
      <c r="D204" s="78"/>
      <c r="E204" s="78"/>
      <c r="F204" s="78"/>
      <c r="G204" s="78"/>
      <c r="H204" s="78"/>
      <c r="I204" s="78"/>
      <c r="J204" s="78"/>
      <c r="K204" s="78"/>
      <c r="L204" s="78"/>
      <c r="M204" s="78"/>
      <c r="N204" s="78"/>
      <c r="O204" s="78"/>
      <c r="P204" s="78"/>
      <c r="Q204" s="78"/>
      <c r="R204" s="78"/>
      <c r="S204" s="78"/>
      <c r="T204" s="78"/>
      <c r="U204" s="79"/>
      <c r="V204" s="78"/>
      <c r="W204" s="78"/>
      <c r="X204" s="78"/>
      <c r="Y204" s="67"/>
      <c r="Z204" s="78"/>
      <c r="AA204" s="78"/>
      <c r="AB204" s="78"/>
      <c r="AC204" s="78"/>
      <c r="AD204" s="78"/>
      <c r="AE204" s="78"/>
      <c r="AF204" s="78"/>
      <c r="AG204" s="78"/>
      <c r="AH204" s="78"/>
      <c r="AI204" s="78"/>
    </row>
    <row r="205" spans="1:35">
      <c r="A205" s="78"/>
      <c r="B205" s="78"/>
      <c r="C205" s="78"/>
      <c r="D205" s="78"/>
      <c r="E205" s="78"/>
      <c r="F205" s="78"/>
      <c r="G205" s="78"/>
      <c r="H205" s="78"/>
      <c r="I205" s="78"/>
      <c r="J205" s="78"/>
      <c r="K205" s="78"/>
      <c r="L205" s="78"/>
      <c r="M205" s="78"/>
      <c r="N205" s="78"/>
      <c r="O205" s="78"/>
      <c r="P205" s="78"/>
      <c r="Q205" s="78"/>
      <c r="R205" s="78"/>
      <c r="S205" s="78"/>
      <c r="T205" s="78"/>
      <c r="U205" s="79"/>
      <c r="V205" s="78"/>
      <c r="W205" s="78"/>
      <c r="X205" s="78"/>
      <c r="Y205" s="67"/>
      <c r="Z205" s="78"/>
      <c r="AA205" s="78"/>
      <c r="AB205" s="78"/>
      <c r="AC205" s="78"/>
      <c r="AD205" s="78"/>
      <c r="AE205" s="78"/>
      <c r="AF205" s="78"/>
      <c r="AG205" s="78"/>
      <c r="AH205" s="78"/>
      <c r="AI205" s="78"/>
    </row>
    <row r="206" spans="1:35">
      <c r="A206" s="78"/>
      <c r="B206" s="78"/>
      <c r="C206" s="78"/>
      <c r="D206" s="78"/>
      <c r="E206" s="78"/>
      <c r="F206" s="78"/>
      <c r="G206" s="78"/>
      <c r="H206" s="78"/>
      <c r="I206" s="78"/>
      <c r="J206" s="78"/>
      <c r="K206" s="78"/>
      <c r="L206" s="78"/>
      <c r="M206" s="78"/>
      <c r="N206" s="78"/>
      <c r="O206" s="78"/>
      <c r="P206" s="78"/>
      <c r="Q206" s="78"/>
      <c r="R206" s="78"/>
      <c r="S206" s="78"/>
      <c r="T206" s="78"/>
      <c r="U206" s="79"/>
      <c r="V206" s="78"/>
      <c r="W206" s="78"/>
      <c r="X206" s="78"/>
      <c r="Y206" s="67"/>
      <c r="Z206" s="78"/>
      <c r="AA206" s="78"/>
      <c r="AB206" s="78"/>
      <c r="AC206" s="78"/>
      <c r="AD206" s="78"/>
      <c r="AE206" s="78"/>
      <c r="AF206" s="78"/>
      <c r="AG206" s="78"/>
      <c r="AH206" s="78"/>
      <c r="AI206" s="78"/>
    </row>
    <row r="207" spans="1:35">
      <c r="A207" s="78"/>
      <c r="B207" s="78"/>
      <c r="C207" s="78"/>
      <c r="D207" s="78"/>
      <c r="E207" s="78"/>
      <c r="F207" s="78"/>
      <c r="G207" s="78"/>
      <c r="H207" s="78"/>
      <c r="I207" s="78"/>
      <c r="J207" s="78"/>
      <c r="K207" s="78"/>
      <c r="L207" s="78"/>
      <c r="M207" s="78"/>
      <c r="N207" s="78"/>
      <c r="O207" s="78"/>
      <c r="P207" s="78"/>
      <c r="Q207" s="78"/>
      <c r="R207" s="78"/>
      <c r="S207" s="78"/>
      <c r="T207" s="78"/>
      <c r="U207" s="79"/>
      <c r="V207" s="78"/>
      <c r="W207" s="78"/>
      <c r="X207" s="78"/>
      <c r="Y207" s="67"/>
      <c r="Z207" s="78"/>
      <c r="AA207" s="78"/>
      <c r="AB207" s="78"/>
      <c r="AC207" s="78"/>
      <c r="AD207" s="78"/>
      <c r="AE207" s="78"/>
      <c r="AF207" s="78"/>
      <c r="AG207" s="78"/>
      <c r="AH207" s="78"/>
      <c r="AI207" s="78"/>
    </row>
    <row r="208" spans="1:35">
      <c r="A208" s="78"/>
      <c r="B208" s="78"/>
      <c r="C208" s="78"/>
      <c r="D208" s="78"/>
      <c r="E208" s="78"/>
      <c r="F208" s="78"/>
      <c r="G208" s="78"/>
      <c r="H208" s="78"/>
      <c r="I208" s="78"/>
      <c r="J208" s="78"/>
      <c r="K208" s="78"/>
      <c r="L208" s="78"/>
      <c r="M208" s="78"/>
      <c r="N208" s="78"/>
      <c r="O208" s="78"/>
      <c r="P208" s="78"/>
      <c r="Q208" s="78"/>
      <c r="R208" s="78"/>
      <c r="S208" s="78"/>
      <c r="T208" s="78"/>
      <c r="U208" s="79"/>
      <c r="V208" s="78"/>
      <c r="W208" s="78"/>
      <c r="X208" s="78"/>
      <c r="Y208" s="67"/>
      <c r="Z208" s="78"/>
      <c r="AA208" s="78"/>
      <c r="AB208" s="78"/>
      <c r="AC208" s="78"/>
      <c r="AD208" s="78"/>
      <c r="AE208" s="78"/>
      <c r="AF208" s="78"/>
      <c r="AG208" s="78"/>
      <c r="AH208" s="78"/>
      <c r="AI208" s="78"/>
    </row>
    <row r="209" spans="1:35">
      <c r="A209" s="78"/>
      <c r="B209" s="78"/>
      <c r="C209" s="78"/>
      <c r="D209" s="78"/>
      <c r="E209" s="78"/>
      <c r="F209" s="78"/>
      <c r="G209" s="78"/>
      <c r="H209" s="78"/>
      <c r="I209" s="78"/>
      <c r="J209" s="78"/>
      <c r="K209" s="78"/>
      <c r="L209" s="78"/>
      <c r="M209" s="78"/>
      <c r="N209" s="78"/>
      <c r="O209" s="78"/>
      <c r="P209" s="78"/>
      <c r="Q209" s="78"/>
      <c r="R209" s="78"/>
      <c r="S209" s="78"/>
      <c r="T209" s="78"/>
      <c r="U209" s="79"/>
      <c r="V209" s="78"/>
      <c r="W209" s="78"/>
      <c r="X209" s="78"/>
      <c r="Y209" s="67"/>
      <c r="Z209" s="78"/>
      <c r="AA209" s="78"/>
      <c r="AB209" s="78"/>
      <c r="AC209" s="78"/>
      <c r="AD209" s="78"/>
      <c r="AE209" s="78"/>
      <c r="AF209" s="78"/>
      <c r="AG209" s="78"/>
      <c r="AH209" s="78"/>
      <c r="AI209" s="78"/>
    </row>
    <row r="210" spans="1:35">
      <c r="A210" s="78"/>
      <c r="B210" s="78"/>
      <c r="C210" s="78"/>
      <c r="D210" s="78"/>
      <c r="E210" s="78"/>
      <c r="F210" s="78"/>
      <c r="G210" s="78"/>
      <c r="H210" s="78"/>
      <c r="I210" s="78"/>
      <c r="J210" s="78"/>
      <c r="K210" s="78"/>
      <c r="L210" s="78"/>
      <c r="M210" s="78"/>
      <c r="N210" s="78"/>
      <c r="O210" s="78"/>
      <c r="P210" s="78"/>
      <c r="Q210" s="78"/>
      <c r="R210" s="78"/>
      <c r="S210" s="78"/>
      <c r="T210" s="78"/>
      <c r="U210" s="79"/>
      <c r="V210" s="78"/>
      <c r="W210" s="78"/>
      <c r="X210" s="78"/>
      <c r="Y210" s="67"/>
      <c r="Z210" s="78"/>
      <c r="AA210" s="78"/>
      <c r="AB210" s="78"/>
      <c r="AC210" s="78"/>
      <c r="AD210" s="78"/>
      <c r="AE210" s="78"/>
      <c r="AF210" s="78"/>
      <c r="AG210" s="78"/>
      <c r="AH210" s="78"/>
      <c r="AI210" s="78"/>
    </row>
    <row r="211" spans="1:35">
      <c r="A211" s="78"/>
      <c r="B211" s="78"/>
      <c r="C211" s="78"/>
      <c r="D211" s="78"/>
      <c r="E211" s="78"/>
      <c r="F211" s="78"/>
      <c r="G211" s="78"/>
      <c r="H211" s="78"/>
      <c r="I211" s="78"/>
      <c r="J211" s="78"/>
      <c r="K211" s="78"/>
      <c r="L211" s="78"/>
      <c r="M211" s="78"/>
      <c r="N211" s="78"/>
      <c r="O211" s="78"/>
      <c r="P211" s="78"/>
      <c r="Q211" s="78"/>
      <c r="R211" s="78"/>
      <c r="S211" s="78"/>
      <c r="T211" s="78"/>
      <c r="U211" s="79"/>
      <c r="V211" s="78"/>
      <c r="W211" s="78"/>
      <c r="X211" s="78"/>
      <c r="Y211" s="67"/>
      <c r="Z211" s="78"/>
      <c r="AA211" s="78"/>
      <c r="AB211" s="78"/>
      <c r="AC211" s="78"/>
      <c r="AD211" s="78"/>
      <c r="AE211" s="78"/>
      <c r="AF211" s="78"/>
      <c r="AG211" s="78"/>
      <c r="AH211" s="78"/>
      <c r="AI211" s="78"/>
    </row>
    <row r="212" spans="1:35">
      <c r="A212" s="78"/>
      <c r="B212" s="78"/>
      <c r="C212" s="78"/>
      <c r="D212" s="78"/>
      <c r="E212" s="78"/>
      <c r="F212" s="78"/>
      <c r="G212" s="78"/>
      <c r="H212" s="78"/>
      <c r="I212" s="78"/>
      <c r="J212" s="78"/>
      <c r="K212" s="78"/>
      <c r="L212" s="78"/>
      <c r="M212" s="78"/>
      <c r="N212" s="78"/>
      <c r="O212" s="78"/>
      <c r="P212" s="78"/>
      <c r="Q212" s="78"/>
      <c r="R212" s="78"/>
      <c r="S212" s="78"/>
      <c r="T212" s="78"/>
      <c r="U212" s="79"/>
      <c r="V212" s="78"/>
      <c r="W212" s="78"/>
      <c r="X212" s="78"/>
      <c r="Y212" s="67"/>
      <c r="Z212" s="78"/>
      <c r="AA212" s="78"/>
      <c r="AB212" s="78"/>
      <c r="AC212" s="78"/>
      <c r="AD212" s="78"/>
      <c r="AE212" s="78"/>
      <c r="AF212" s="78"/>
      <c r="AG212" s="78"/>
      <c r="AH212" s="78"/>
      <c r="AI212" s="78"/>
    </row>
    <row r="213" spans="1:35">
      <c r="A213" s="78"/>
      <c r="B213" s="78"/>
      <c r="C213" s="78"/>
      <c r="D213" s="78"/>
      <c r="E213" s="78"/>
      <c r="F213" s="78"/>
      <c r="G213" s="78"/>
      <c r="H213" s="78"/>
      <c r="I213" s="78"/>
      <c r="J213" s="78"/>
      <c r="K213" s="78"/>
      <c r="L213" s="78"/>
      <c r="M213" s="78"/>
      <c r="N213" s="78"/>
      <c r="O213" s="78"/>
      <c r="P213" s="78"/>
      <c r="Q213" s="78"/>
      <c r="R213" s="78"/>
      <c r="S213" s="78"/>
      <c r="T213" s="78"/>
      <c r="U213" s="79"/>
      <c r="V213" s="78"/>
      <c r="W213" s="78"/>
      <c r="X213" s="78"/>
      <c r="Y213" s="67"/>
      <c r="Z213" s="78"/>
      <c r="AA213" s="78"/>
      <c r="AB213" s="78"/>
      <c r="AC213" s="78"/>
      <c r="AD213" s="78"/>
      <c r="AE213" s="78"/>
      <c r="AF213" s="78"/>
      <c r="AG213" s="78"/>
      <c r="AH213" s="78"/>
      <c r="AI213" s="78"/>
    </row>
    <row r="214" spans="1:35">
      <c r="A214" s="78"/>
      <c r="B214" s="78"/>
      <c r="C214" s="78"/>
      <c r="D214" s="78"/>
      <c r="E214" s="78"/>
      <c r="F214" s="78"/>
      <c r="G214" s="78"/>
      <c r="H214" s="78"/>
      <c r="I214" s="78"/>
      <c r="J214" s="78"/>
      <c r="K214" s="78"/>
      <c r="L214" s="78"/>
      <c r="M214" s="78"/>
      <c r="N214" s="78"/>
      <c r="O214" s="78"/>
      <c r="P214" s="78"/>
      <c r="Q214" s="78"/>
      <c r="R214" s="78"/>
      <c r="S214" s="78"/>
      <c r="T214" s="78"/>
      <c r="U214" s="79"/>
      <c r="V214" s="78"/>
      <c r="W214" s="78"/>
      <c r="X214" s="78"/>
      <c r="Y214" s="67"/>
      <c r="Z214" s="78"/>
      <c r="AA214" s="78"/>
      <c r="AB214" s="78"/>
      <c r="AC214" s="78"/>
      <c r="AD214" s="78"/>
      <c r="AE214" s="78"/>
      <c r="AF214" s="78"/>
      <c r="AG214" s="78"/>
      <c r="AH214" s="78"/>
      <c r="AI214" s="78"/>
    </row>
    <row r="215" spans="1:35">
      <c r="A215" s="78"/>
      <c r="B215" s="78"/>
      <c r="C215" s="78"/>
      <c r="D215" s="78"/>
      <c r="E215" s="78"/>
      <c r="F215" s="78"/>
      <c r="G215" s="78"/>
      <c r="H215" s="78"/>
      <c r="I215" s="78"/>
      <c r="J215" s="78"/>
      <c r="K215" s="78"/>
      <c r="L215" s="78"/>
      <c r="M215" s="78"/>
      <c r="N215" s="78"/>
      <c r="O215" s="78"/>
      <c r="P215" s="78"/>
      <c r="Q215" s="78"/>
      <c r="R215" s="78"/>
      <c r="S215" s="78"/>
      <c r="T215" s="78"/>
      <c r="U215" s="79"/>
      <c r="V215" s="78"/>
      <c r="W215" s="78"/>
      <c r="X215" s="78"/>
      <c r="Y215" s="67"/>
      <c r="Z215" s="78"/>
      <c r="AA215" s="78"/>
      <c r="AB215" s="78"/>
      <c r="AC215" s="78"/>
      <c r="AD215" s="78"/>
      <c r="AE215" s="78"/>
      <c r="AF215" s="78"/>
      <c r="AG215" s="78"/>
      <c r="AH215" s="78"/>
      <c r="AI215" s="78"/>
    </row>
    <row r="216" spans="1:35">
      <c r="A216" s="78"/>
      <c r="B216" s="78"/>
      <c r="C216" s="78"/>
      <c r="D216" s="78"/>
      <c r="E216" s="78"/>
      <c r="F216" s="78"/>
      <c r="G216" s="78"/>
      <c r="H216" s="78"/>
      <c r="I216" s="78"/>
      <c r="J216" s="78"/>
      <c r="K216" s="78"/>
      <c r="L216" s="78"/>
      <c r="M216" s="78"/>
      <c r="N216" s="78"/>
      <c r="O216" s="78"/>
      <c r="P216" s="78"/>
      <c r="Q216" s="78"/>
      <c r="R216" s="78"/>
      <c r="S216" s="78"/>
      <c r="T216" s="78"/>
      <c r="U216" s="79"/>
      <c r="V216" s="78"/>
      <c r="W216" s="78"/>
      <c r="X216" s="78"/>
      <c r="Y216" s="67"/>
      <c r="Z216" s="78"/>
      <c r="AA216" s="78"/>
      <c r="AB216" s="78"/>
      <c r="AC216" s="78"/>
      <c r="AD216" s="78"/>
      <c r="AE216" s="78"/>
      <c r="AF216" s="78"/>
      <c r="AG216" s="78"/>
      <c r="AH216" s="78"/>
      <c r="AI216" s="78"/>
    </row>
    <row r="217" spans="1:35">
      <c r="A217" s="78"/>
      <c r="B217" s="78"/>
      <c r="C217" s="78"/>
      <c r="D217" s="78"/>
      <c r="E217" s="78"/>
      <c r="F217" s="78"/>
      <c r="G217" s="78"/>
      <c r="H217" s="78"/>
      <c r="I217" s="78"/>
      <c r="J217" s="78"/>
      <c r="K217" s="78"/>
      <c r="L217" s="78"/>
      <c r="M217" s="78"/>
      <c r="N217" s="78"/>
      <c r="O217" s="78"/>
      <c r="P217" s="78"/>
      <c r="Q217" s="78"/>
      <c r="R217" s="78"/>
      <c r="S217" s="78"/>
      <c r="T217" s="78"/>
      <c r="U217" s="79"/>
      <c r="V217" s="78"/>
      <c r="W217" s="78"/>
      <c r="X217" s="78"/>
      <c r="Y217" s="67"/>
      <c r="Z217" s="78"/>
      <c r="AA217" s="78"/>
      <c r="AB217" s="78"/>
      <c r="AC217" s="78"/>
      <c r="AD217" s="78"/>
      <c r="AE217" s="78"/>
      <c r="AF217" s="78"/>
      <c r="AG217" s="78"/>
      <c r="AH217" s="78"/>
      <c r="AI217" s="78"/>
    </row>
    <row r="218" spans="1:35">
      <c r="A218" s="78"/>
      <c r="B218" s="78"/>
      <c r="C218" s="78"/>
      <c r="D218" s="78"/>
      <c r="E218" s="78"/>
      <c r="F218" s="78"/>
      <c r="G218" s="78"/>
      <c r="H218" s="78"/>
      <c r="I218" s="78"/>
      <c r="J218" s="78"/>
      <c r="K218" s="78"/>
      <c r="L218" s="78"/>
      <c r="M218" s="78"/>
      <c r="N218" s="78"/>
      <c r="O218" s="78"/>
      <c r="P218" s="78"/>
      <c r="Q218" s="78"/>
      <c r="R218" s="78"/>
      <c r="S218" s="78"/>
      <c r="T218" s="78"/>
      <c r="U218" s="79"/>
      <c r="V218" s="78"/>
      <c r="W218" s="78"/>
      <c r="X218" s="78"/>
      <c r="Y218" s="67"/>
      <c r="Z218" s="78"/>
      <c r="AA218" s="78"/>
      <c r="AB218" s="78"/>
      <c r="AC218" s="78"/>
      <c r="AD218" s="78"/>
      <c r="AE218" s="78"/>
      <c r="AF218" s="78"/>
      <c r="AG218" s="78"/>
      <c r="AH218" s="78"/>
      <c r="AI218" s="78"/>
    </row>
    <row r="219" spans="1:35">
      <c r="A219" s="78"/>
      <c r="B219" s="78"/>
      <c r="C219" s="78"/>
      <c r="D219" s="78"/>
      <c r="E219" s="78"/>
      <c r="F219" s="78"/>
      <c r="G219" s="78"/>
      <c r="H219" s="78"/>
      <c r="I219" s="78"/>
      <c r="J219" s="78"/>
      <c r="K219" s="78"/>
      <c r="L219" s="78"/>
      <c r="M219" s="78"/>
      <c r="N219" s="78"/>
      <c r="O219" s="78"/>
      <c r="P219" s="78"/>
      <c r="Q219" s="78"/>
      <c r="R219" s="78"/>
      <c r="S219" s="78"/>
      <c r="T219" s="78"/>
      <c r="U219" s="79"/>
      <c r="V219" s="78"/>
      <c r="W219" s="78"/>
      <c r="X219" s="78"/>
      <c r="Y219" s="67"/>
      <c r="Z219" s="78"/>
      <c r="AA219" s="78"/>
      <c r="AB219" s="78"/>
      <c r="AC219" s="78"/>
      <c r="AD219" s="78"/>
      <c r="AE219" s="78"/>
      <c r="AF219" s="78"/>
      <c r="AG219" s="78"/>
      <c r="AH219" s="78"/>
      <c r="AI219" s="78"/>
    </row>
    <row r="220" spans="1:35">
      <c r="A220" s="78"/>
      <c r="B220" s="78"/>
      <c r="C220" s="78"/>
      <c r="D220" s="78"/>
      <c r="E220" s="78"/>
      <c r="F220" s="78"/>
      <c r="G220" s="78"/>
      <c r="H220" s="78"/>
      <c r="I220" s="78"/>
      <c r="J220" s="78"/>
      <c r="K220" s="78"/>
      <c r="L220" s="78"/>
      <c r="M220" s="78"/>
      <c r="N220" s="78"/>
      <c r="O220" s="78"/>
      <c r="P220" s="78"/>
      <c r="Q220" s="78"/>
      <c r="R220" s="78"/>
      <c r="S220" s="78"/>
      <c r="T220" s="78"/>
      <c r="U220" s="79"/>
      <c r="V220" s="78"/>
      <c r="W220" s="78"/>
      <c r="X220" s="78"/>
      <c r="Y220" s="67"/>
      <c r="Z220" s="78"/>
      <c r="AA220" s="78"/>
      <c r="AB220" s="78"/>
      <c r="AC220" s="78"/>
      <c r="AD220" s="78"/>
      <c r="AE220" s="78"/>
      <c r="AF220" s="78"/>
      <c r="AG220" s="78"/>
      <c r="AH220" s="78"/>
      <c r="AI220" s="78"/>
    </row>
    <row r="221" spans="1:35">
      <c r="A221" s="78"/>
      <c r="B221" s="78"/>
      <c r="C221" s="78"/>
      <c r="D221" s="78"/>
      <c r="E221" s="78"/>
      <c r="F221" s="78"/>
      <c r="G221" s="78"/>
      <c r="H221" s="78"/>
      <c r="I221" s="78"/>
      <c r="J221" s="78"/>
      <c r="K221" s="78"/>
      <c r="L221" s="78"/>
      <c r="M221" s="78"/>
      <c r="N221" s="78"/>
      <c r="O221" s="78"/>
      <c r="P221" s="78"/>
      <c r="Q221" s="78"/>
      <c r="R221" s="78"/>
      <c r="S221" s="78"/>
      <c r="T221" s="78"/>
      <c r="U221" s="79"/>
      <c r="V221" s="78"/>
      <c r="W221" s="78"/>
      <c r="X221" s="78"/>
      <c r="Y221" s="67"/>
      <c r="Z221" s="78"/>
      <c r="AA221" s="78"/>
      <c r="AB221" s="78"/>
      <c r="AC221" s="78"/>
      <c r="AD221" s="78"/>
      <c r="AE221" s="78"/>
      <c r="AF221" s="78"/>
      <c r="AG221" s="78"/>
      <c r="AH221" s="78"/>
      <c r="AI221" s="78"/>
    </row>
    <row r="222" spans="1:35">
      <c r="A222" s="78"/>
      <c r="B222" s="78"/>
      <c r="C222" s="78"/>
      <c r="D222" s="78"/>
      <c r="E222" s="78"/>
      <c r="F222" s="78"/>
      <c r="G222" s="78"/>
      <c r="H222" s="78"/>
      <c r="I222" s="78"/>
      <c r="J222" s="78"/>
      <c r="K222" s="78"/>
      <c r="L222" s="78"/>
      <c r="M222" s="78"/>
      <c r="N222" s="78"/>
      <c r="O222" s="78"/>
      <c r="P222" s="78"/>
      <c r="Q222" s="78"/>
      <c r="R222" s="78"/>
      <c r="S222" s="78"/>
      <c r="T222" s="78"/>
      <c r="U222" s="79"/>
      <c r="V222" s="78"/>
      <c r="W222" s="78"/>
      <c r="X222" s="78"/>
      <c r="Y222" s="67"/>
      <c r="Z222" s="78"/>
      <c r="AA222" s="78"/>
      <c r="AB222" s="78"/>
      <c r="AC222" s="78"/>
      <c r="AD222" s="78"/>
      <c r="AE222" s="78"/>
      <c r="AF222" s="78"/>
      <c r="AG222" s="78"/>
      <c r="AH222" s="78"/>
      <c r="AI222" s="78"/>
    </row>
    <row r="223" spans="1:35">
      <c r="A223" s="78"/>
      <c r="B223" s="78"/>
      <c r="C223" s="78"/>
      <c r="D223" s="78"/>
      <c r="E223" s="78"/>
      <c r="F223" s="78"/>
      <c r="G223" s="78"/>
      <c r="H223" s="78"/>
      <c r="I223" s="78"/>
      <c r="J223" s="78"/>
      <c r="K223" s="78"/>
      <c r="L223" s="78"/>
      <c r="M223" s="78"/>
      <c r="N223" s="78"/>
      <c r="O223" s="78"/>
      <c r="P223" s="78"/>
      <c r="Q223" s="78"/>
      <c r="R223" s="78"/>
      <c r="S223" s="78"/>
      <c r="T223" s="78"/>
      <c r="U223" s="79"/>
      <c r="V223" s="78"/>
      <c r="W223" s="78"/>
      <c r="X223" s="78"/>
      <c r="Y223" s="67"/>
      <c r="Z223" s="78"/>
      <c r="AA223" s="78"/>
      <c r="AB223" s="78"/>
      <c r="AC223" s="78"/>
      <c r="AD223" s="78"/>
      <c r="AE223" s="78"/>
      <c r="AF223" s="78"/>
      <c r="AG223" s="78"/>
      <c r="AH223" s="78"/>
      <c r="AI223" s="78"/>
    </row>
    <row r="224" spans="1:35">
      <c r="A224" s="78"/>
      <c r="B224" s="78"/>
      <c r="C224" s="78"/>
      <c r="D224" s="78"/>
      <c r="E224" s="78"/>
      <c r="F224" s="78"/>
      <c r="G224" s="78"/>
      <c r="H224" s="78"/>
      <c r="I224" s="78"/>
      <c r="J224" s="78"/>
      <c r="K224" s="78"/>
      <c r="L224" s="78"/>
      <c r="M224" s="78"/>
      <c r="N224" s="78"/>
      <c r="O224" s="78"/>
      <c r="P224" s="78"/>
      <c r="Q224" s="78"/>
      <c r="R224" s="78"/>
      <c r="S224" s="78"/>
      <c r="T224" s="78"/>
      <c r="U224" s="79"/>
      <c r="V224" s="78"/>
      <c r="W224" s="78"/>
      <c r="X224" s="78"/>
      <c r="Y224" s="67"/>
      <c r="Z224" s="78"/>
      <c r="AA224" s="78"/>
      <c r="AB224" s="78"/>
      <c r="AC224" s="78"/>
      <c r="AD224" s="78"/>
      <c r="AE224" s="78"/>
      <c r="AF224" s="78"/>
      <c r="AG224" s="78"/>
      <c r="AH224" s="78"/>
      <c r="AI224" s="78"/>
    </row>
    <row r="225" spans="1:35">
      <c r="A225" s="78"/>
      <c r="B225" s="78"/>
      <c r="C225" s="78"/>
      <c r="D225" s="78"/>
      <c r="E225" s="78"/>
      <c r="F225" s="78"/>
      <c r="G225" s="78"/>
      <c r="H225" s="78"/>
      <c r="I225" s="78"/>
      <c r="J225" s="78"/>
      <c r="K225" s="78"/>
      <c r="L225" s="78"/>
      <c r="M225" s="78"/>
      <c r="N225" s="78"/>
      <c r="O225" s="78"/>
      <c r="P225" s="78"/>
      <c r="Q225" s="78"/>
      <c r="R225" s="78"/>
      <c r="S225" s="78"/>
      <c r="T225" s="78"/>
      <c r="U225" s="79"/>
      <c r="V225" s="78"/>
      <c r="W225" s="78"/>
      <c r="X225" s="78"/>
      <c r="Y225" s="67"/>
      <c r="Z225" s="78"/>
      <c r="AA225" s="78"/>
      <c r="AB225" s="78"/>
      <c r="AC225" s="78"/>
      <c r="AD225" s="78"/>
      <c r="AE225" s="78"/>
      <c r="AF225" s="78"/>
      <c r="AG225" s="78"/>
      <c r="AH225" s="78"/>
      <c r="AI225" s="78"/>
    </row>
    <row r="226" spans="1:35">
      <c r="A226" s="78"/>
      <c r="B226" s="78"/>
      <c r="C226" s="78"/>
      <c r="D226" s="78"/>
      <c r="E226" s="78"/>
      <c r="F226" s="78"/>
      <c r="G226" s="78"/>
      <c r="H226" s="78"/>
      <c r="I226" s="78"/>
      <c r="J226" s="78"/>
      <c r="K226" s="78"/>
      <c r="L226" s="78"/>
      <c r="M226" s="78"/>
      <c r="N226" s="78"/>
      <c r="O226" s="78"/>
      <c r="P226" s="78"/>
      <c r="Q226" s="78"/>
      <c r="R226" s="78"/>
      <c r="S226" s="78"/>
      <c r="T226" s="78"/>
      <c r="U226" s="79"/>
      <c r="V226" s="78"/>
      <c r="W226" s="78"/>
      <c r="X226" s="78"/>
      <c r="Y226" s="67"/>
      <c r="Z226" s="78"/>
      <c r="AA226" s="78"/>
      <c r="AB226" s="78"/>
      <c r="AC226" s="78"/>
      <c r="AD226" s="78"/>
      <c r="AE226" s="78"/>
      <c r="AF226" s="78"/>
      <c r="AG226" s="78"/>
      <c r="AH226" s="78"/>
      <c r="AI226" s="78"/>
    </row>
    <row r="227" spans="1:35">
      <c r="A227" s="78"/>
      <c r="B227" s="78"/>
      <c r="C227" s="78"/>
      <c r="D227" s="78"/>
      <c r="E227" s="78"/>
      <c r="F227" s="78"/>
      <c r="G227" s="78"/>
      <c r="H227" s="78"/>
      <c r="I227" s="78"/>
      <c r="J227" s="78"/>
      <c r="K227" s="78"/>
      <c r="L227" s="78"/>
      <c r="M227" s="78"/>
      <c r="N227" s="78"/>
      <c r="O227" s="78"/>
      <c r="P227" s="78"/>
      <c r="Q227" s="78"/>
      <c r="R227" s="78"/>
      <c r="S227" s="78"/>
      <c r="T227" s="78"/>
      <c r="U227" s="79"/>
      <c r="V227" s="78"/>
      <c r="W227" s="78"/>
      <c r="X227" s="78"/>
      <c r="Y227" s="67"/>
      <c r="Z227" s="78"/>
      <c r="AA227" s="78"/>
      <c r="AB227" s="78"/>
      <c r="AC227" s="78"/>
      <c r="AD227" s="78"/>
      <c r="AE227" s="78"/>
      <c r="AF227" s="78"/>
      <c r="AG227" s="78"/>
      <c r="AH227" s="78"/>
      <c r="AI227" s="78"/>
    </row>
    <row r="228" spans="1:35">
      <c r="A228" s="78"/>
      <c r="B228" s="78"/>
      <c r="C228" s="78"/>
      <c r="D228" s="78"/>
      <c r="E228" s="78"/>
      <c r="F228" s="78"/>
      <c r="G228" s="78"/>
      <c r="H228" s="78"/>
      <c r="I228" s="78"/>
      <c r="J228" s="78"/>
      <c r="K228" s="78"/>
      <c r="L228" s="78"/>
      <c r="M228" s="78"/>
      <c r="N228" s="78"/>
      <c r="O228" s="78"/>
      <c r="P228" s="78"/>
      <c r="Q228" s="78"/>
      <c r="R228" s="78"/>
      <c r="S228" s="78"/>
      <c r="T228" s="78"/>
      <c r="U228" s="79"/>
      <c r="V228" s="78"/>
      <c r="W228" s="78"/>
      <c r="X228" s="78"/>
      <c r="Y228" s="67"/>
      <c r="Z228" s="78"/>
      <c r="AA228" s="78"/>
      <c r="AB228" s="78"/>
      <c r="AC228" s="78"/>
      <c r="AD228" s="78"/>
      <c r="AE228" s="78"/>
      <c r="AF228" s="78"/>
      <c r="AG228" s="78"/>
      <c r="AH228" s="78"/>
      <c r="AI228" s="78"/>
    </row>
    <row r="229" spans="1:35">
      <c r="A229" s="78"/>
      <c r="B229" s="78"/>
      <c r="C229" s="78"/>
      <c r="D229" s="78"/>
      <c r="E229" s="78"/>
      <c r="F229" s="78"/>
      <c r="G229" s="78"/>
      <c r="H229" s="78"/>
      <c r="I229" s="78"/>
      <c r="J229" s="78"/>
      <c r="K229" s="78"/>
      <c r="L229" s="78"/>
      <c r="M229" s="78"/>
      <c r="N229" s="78"/>
      <c r="O229" s="78"/>
      <c r="P229" s="78"/>
      <c r="Q229" s="78"/>
      <c r="R229" s="78"/>
      <c r="S229" s="78"/>
      <c r="T229" s="78"/>
      <c r="U229" s="79"/>
      <c r="V229" s="78"/>
      <c r="W229" s="78"/>
      <c r="X229" s="78"/>
      <c r="Y229" s="67"/>
      <c r="Z229" s="78"/>
      <c r="AA229" s="78"/>
      <c r="AB229" s="78"/>
      <c r="AC229" s="78"/>
      <c r="AD229" s="78"/>
      <c r="AE229" s="78"/>
      <c r="AF229" s="78"/>
      <c r="AG229" s="78"/>
      <c r="AH229" s="78"/>
      <c r="AI229" s="78"/>
    </row>
    <row r="230" spans="1:35">
      <c r="A230" s="78"/>
      <c r="B230" s="78"/>
      <c r="C230" s="78"/>
      <c r="D230" s="78"/>
      <c r="E230" s="78"/>
      <c r="F230" s="78"/>
      <c r="G230" s="78"/>
      <c r="H230" s="78"/>
      <c r="I230" s="78"/>
      <c r="J230" s="78"/>
      <c r="K230" s="78"/>
      <c r="L230" s="78"/>
      <c r="M230" s="78"/>
      <c r="N230" s="78"/>
      <c r="O230" s="78"/>
      <c r="P230" s="78"/>
      <c r="Q230" s="78"/>
      <c r="R230" s="78"/>
      <c r="S230" s="78"/>
      <c r="T230" s="78"/>
      <c r="U230" s="79"/>
      <c r="V230" s="78"/>
      <c r="W230" s="78"/>
      <c r="X230" s="78"/>
      <c r="Y230" s="67"/>
      <c r="Z230" s="78"/>
      <c r="AA230" s="78"/>
      <c r="AB230" s="78"/>
      <c r="AC230" s="78"/>
      <c r="AD230" s="78"/>
      <c r="AE230" s="78"/>
      <c r="AF230" s="78"/>
      <c r="AG230" s="78"/>
      <c r="AH230" s="78"/>
      <c r="AI230" s="78"/>
    </row>
    <row r="231" spans="1:35">
      <c r="A231" s="78"/>
      <c r="B231" s="78"/>
      <c r="C231" s="78"/>
      <c r="D231" s="78"/>
      <c r="E231" s="78"/>
      <c r="F231" s="78"/>
      <c r="G231" s="78"/>
      <c r="H231" s="78"/>
      <c r="I231" s="78"/>
      <c r="J231" s="78"/>
      <c r="K231" s="78"/>
      <c r="L231" s="78"/>
      <c r="M231" s="78"/>
      <c r="N231" s="78"/>
      <c r="O231" s="78"/>
      <c r="P231" s="78"/>
      <c r="Q231" s="78"/>
      <c r="R231" s="78"/>
      <c r="S231" s="78"/>
      <c r="T231" s="78"/>
      <c r="U231" s="79"/>
      <c r="V231" s="78"/>
      <c r="W231" s="78"/>
      <c r="X231" s="78"/>
      <c r="Y231" s="67"/>
      <c r="Z231" s="78"/>
      <c r="AA231" s="78"/>
      <c r="AB231" s="78"/>
      <c r="AC231" s="78"/>
      <c r="AD231" s="78"/>
      <c r="AE231" s="78"/>
      <c r="AF231" s="78"/>
      <c r="AG231" s="78"/>
      <c r="AH231" s="78"/>
      <c r="AI231" s="78"/>
    </row>
    <row r="232" spans="1:35">
      <c r="A232" s="78"/>
      <c r="B232" s="78"/>
      <c r="C232" s="78"/>
      <c r="D232" s="78"/>
      <c r="E232" s="78"/>
      <c r="F232" s="78"/>
      <c r="G232" s="78"/>
      <c r="H232" s="78"/>
      <c r="I232" s="78"/>
      <c r="J232" s="78"/>
      <c r="K232" s="78"/>
      <c r="L232" s="78"/>
      <c r="M232" s="78"/>
      <c r="N232" s="78"/>
      <c r="O232" s="78"/>
      <c r="P232" s="78"/>
      <c r="Q232" s="78"/>
      <c r="R232" s="78"/>
      <c r="S232" s="78"/>
      <c r="T232" s="78"/>
      <c r="U232" s="79"/>
      <c r="V232" s="78"/>
      <c r="W232" s="78"/>
      <c r="X232" s="78"/>
      <c r="Y232" s="67"/>
      <c r="Z232" s="78"/>
      <c r="AA232" s="78"/>
      <c r="AB232" s="78"/>
      <c r="AC232" s="78"/>
      <c r="AD232" s="78"/>
      <c r="AE232" s="78"/>
      <c r="AF232" s="78"/>
      <c r="AG232" s="78"/>
      <c r="AH232" s="78"/>
      <c r="AI232" s="78"/>
    </row>
    <row r="233" spans="1:35">
      <c r="A233" s="78"/>
      <c r="B233" s="78"/>
      <c r="C233" s="78"/>
      <c r="D233" s="78"/>
      <c r="E233" s="78"/>
      <c r="F233" s="78"/>
      <c r="G233" s="78"/>
      <c r="H233" s="78"/>
      <c r="I233" s="78"/>
      <c r="J233" s="78"/>
      <c r="K233" s="78"/>
      <c r="L233" s="78"/>
      <c r="M233" s="78"/>
      <c r="N233" s="78"/>
      <c r="O233" s="78"/>
      <c r="P233" s="78"/>
      <c r="Q233" s="78"/>
      <c r="R233" s="78"/>
      <c r="S233" s="78"/>
      <c r="T233" s="78"/>
      <c r="U233" s="79"/>
      <c r="V233" s="78"/>
      <c r="W233" s="78"/>
      <c r="X233" s="78"/>
      <c r="Y233" s="67"/>
      <c r="Z233" s="78"/>
      <c r="AA233" s="78"/>
      <c r="AB233" s="78"/>
      <c r="AC233" s="78"/>
      <c r="AD233" s="78"/>
      <c r="AE233" s="78"/>
      <c r="AF233" s="78"/>
      <c r="AG233" s="78"/>
      <c r="AH233" s="78"/>
      <c r="AI233" s="78"/>
    </row>
    <row r="234" spans="1:35">
      <c r="A234" s="78"/>
      <c r="B234" s="78"/>
      <c r="C234" s="78"/>
      <c r="D234" s="78"/>
      <c r="E234" s="78"/>
      <c r="F234" s="78"/>
      <c r="G234" s="78"/>
      <c r="H234" s="78"/>
      <c r="I234" s="78"/>
      <c r="J234" s="78"/>
      <c r="K234" s="78"/>
      <c r="L234" s="78"/>
      <c r="M234" s="78"/>
      <c r="N234" s="78"/>
      <c r="O234" s="78"/>
      <c r="P234" s="78"/>
      <c r="Q234" s="78"/>
      <c r="R234" s="78"/>
      <c r="S234" s="78"/>
      <c r="T234" s="78"/>
      <c r="U234" s="79"/>
      <c r="V234" s="78"/>
      <c r="W234" s="78"/>
      <c r="X234" s="78"/>
      <c r="Y234" s="67"/>
      <c r="Z234" s="78"/>
      <c r="AA234" s="78"/>
      <c r="AB234" s="78"/>
      <c r="AC234" s="78"/>
      <c r="AD234" s="78"/>
      <c r="AE234" s="78"/>
      <c r="AF234" s="78"/>
      <c r="AG234" s="78"/>
      <c r="AH234" s="78"/>
      <c r="AI234" s="78"/>
    </row>
    <row r="235" spans="1:35">
      <c r="A235" s="78"/>
      <c r="B235" s="78"/>
      <c r="C235" s="78"/>
      <c r="D235" s="78"/>
      <c r="E235" s="78"/>
      <c r="F235" s="78"/>
      <c r="G235" s="78"/>
      <c r="H235" s="78"/>
      <c r="I235" s="78"/>
      <c r="J235" s="78"/>
      <c r="K235" s="78"/>
      <c r="L235" s="78"/>
      <c r="M235" s="78"/>
      <c r="N235" s="78"/>
      <c r="O235" s="78"/>
      <c r="P235" s="78"/>
      <c r="Q235" s="78"/>
      <c r="R235" s="78"/>
      <c r="S235" s="78"/>
      <c r="T235" s="78"/>
      <c r="U235" s="79"/>
      <c r="V235" s="78"/>
      <c r="W235" s="78"/>
      <c r="X235" s="78"/>
      <c r="Y235" s="67"/>
      <c r="Z235" s="78"/>
      <c r="AA235" s="78"/>
      <c r="AB235" s="78"/>
      <c r="AC235" s="78"/>
      <c r="AD235" s="78"/>
      <c r="AE235" s="78"/>
      <c r="AF235" s="78"/>
      <c r="AG235" s="78"/>
      <c r="AH235" s="78"/>
      <c r="AI235" s="78"/>
    </row>
    <row r="236" spans="1:35">
      <c r="A236" s="78"/>
      <c r="B236" s="78"/>
      <c r="C236" s="78"/>
      <c r="D236" s="78"/>
      <c r="E236" s="78"/>
      <c r="F236" s="78"/>
      <c r="G236" s="78"/>
      <c r="H236" s="78"/>
      <c r="I236" s="78"/>
      <c r="J236" s="78"/>
      <c r="K236" s="78"/>
      <c r="L236" s="78"/>
      <c r="M236" s="78"/>
      <c r="N236" s="78"/>
      <c r="O236" s="78"/>
      <c r="P236" s="78"/>
      <c r="Q236" s="78"/>
      <c r="R236" s="78"/>
      <c r="S236" s="78"/>
      <c r="T236" s="78"/>
      <c r="U236" s="79"/>
      <c r="V236" s="78"/>
      <c r="W236" s="78"/>
      <c r="X236" s="78"/>
      <c r="Y236" s="67"/>
      <c r="Z236" s="78"/>
      <c r="AA236" s="78"/>
      <c r="AB236" s="78"/>
      <c r="AC236" s="78"/>
      <c r="AD236" s="78"/>
      <c r="AE236" s="78"/>
      <c r="AF236" s="78"/>
      <c r="AG236" s="78"/>
      <c r="AH236" s="78"/>
      <c r="AI236" s="78"/>
    </row>
    <row r="237" spans="1:35">
      <c r="A237" s="78"/>
      <c r="B237" s="78"/>
      <c r="C237" s="78"/>
      <c r="D237" s="78"/>
      <c r="E237" s="78"/>
      <c r="F237" s="78"/>
      <c r="G237" s="78"/>
      <c r="H237" s="78"/>
      <c r="I237" s="78"/>
      <c r="J237" s="78"/>
      <c r="K237" s="78"/>
      <c r="L237" s="78"/>
      <c r="M237" s="78"/>
      <c r="N237" s="78"/>
      <c r="O237" s="78"/>
      <c r="P237" s="78"/>
      <c r="Q237" s="78"/>
      <c r="R237" s="78"/>
      <c r="S237" s="78"/>
      <c r="T237" s="78"/>
      <c r="U237" s="79"/>
      <c r="V237" s="78"/>
      <c r="W237" s="78"/>
      <c r="X237" s="78"/>
      <c r="Y237" s="67"/>
      <c r="Z237" s="78"/>
      <c r="AA237" s="78"/>
      <c r="AB237" s="78"/>
      <c r="AC237" s="78"/>
      <c r="AD237" s="78"/>
      <c r="AE237" s="78"/>
      <c r="AF237" s="78"/>
      <c r="AG237" s="78"/>
      <c r="AH237" s="78"/>
      <c r="AI237" s="78"/>
    </row>
    <row r="238" spans="1:35">
      <c r="A238" s="78"/>
      <c r="B238" s="78"/>
      <c r="C238" s="78"/>
      <c r="D238" s="78"/>
      <c r="E238" s="78"/>
      <c r="F238" s="78"/>
      <c r="G238" s="78"/>
      <c r="H238" s="78"/>
      <c r="I238" s="78"/>
      <c r="J238" s="78"/>
      <c r="K238" s="78"/>
      <c r="L238" s="78"/>
      <c r="M238" s="78"/>
      <c r="N238" s="78"/>
      <c r="O238" s="78"/>
      <c r="P238" s="78"/>
      <c r="Q238" s="78"/>
      <c r="R238" s="78"/>
      <c r="S238" s="78"/>
      <c r="T238" s="78"/>
      <c r="U238" s="79"/>
      <c r="V238" s="78"/>
      <c r="W238" s="78"/>
      <c r="X238" s="78"/>
      <c r="Y238" s="67"/>
      <c r="Z238" s="78"/>
      <c r="AA238" s="78"/>
      <c r="AB238" s="78"/>
      <c r="AC238" s="78"/>
      <c r="AD238" s="78"/>
      <c r="AE238" s="78"/>
      <c r="AF238" s="78"/>
      <c r="AG238" s="78"/>
      <c r="AH238" s="78"/>
      <c r="AI238" s="78"/>
    </row>
    <row r="239" spans="1:35">
      <c r="A239" s="78"/>
      <c r="B239" s="78"/>
      <c r="C239" s="78"/>
      <c r="D239" s="78"/>
      <c r="E239" s="78"/>
      <c r="F239" s="78"/>
      <c r="G239" s="78"/>
      <c r="H239" s="78"/>
      <c r="I239" s="78"/>
      <c r="J239" s="78"/>
      <c r="K239" s="78"/>
      <c r="L239" s="78"/>
      <c r="M239" s="78"/>
      <c r="N239" s="78"/>
      <c r="O239" s="78"/>
      <c r="P239" s="78"/>
      <c r="Q239" s="78"/>
      <c r="R239" s="78"/>
      <c r="S239" s="78"/>
      <c r="T239" s="78"/>
      <c r="U239" s="79"/>
      <c r="V239" s="78"/>
      <c r="W239" s="78"/>
      <c r="X239" s="78"/>
      <c r="Y239" s="67"/>
      <c r="Z239" s="78"/>
      <c r="AA239" s="78"/>
      <c r="AB239" s="78"/>
      <c r="AC239" s="78"/>
      <c r="AD239" s="78"/>
      <c r="AE239" s="78"/>
      <c r="AF239" s="78"/>
      <c r="AG239" s="78"/>
      <c r="AH239" s="78"/>
      <c r="AI239" s="78"/>
    </row>
    <row r="240" spans="1:35">
      <c r="A240" s="78"/>
      <c r="B240" s="78"/>
      <c r="C240" s="78"/>
      <c r="D240" s="78"/>
      <c r="E240" s="78"/>
      <c r="F240" s="78"/>
      <c r="G240" s="78"/>
      <c r="H240" s="78"/>
      <c r="I240" s="78"/>
      <c r="J240" s="78"/>
      <c r="K240" s="78"/>
      <c r="L240" s="78"/>
      <c r="M240" s="78"/>
      <c r="N240" s="78"/>
      <c r="O240" s="78"/>
      <c r="P240" s="78"/>
      <c r="Q240" s="78"/>
      <c r="R240" s="78"/>
      <c r="S240" s="78"/>
      <c r="T240" s="78"/>
      <c r="U240" s="79"/>
      <c r="V240" s="78"/>
      <c r="W240" s="78"/>
      <c r="X240" s="78"/>
      <c r="Y240" s="67"/>
      <c r="Z240" s="78"/>
      <c r="AA240" s="78"/>
      <c r="AB240" s="78"/>
      <c r="AC240" s="78"/>
      <c r="AD240" s="78"/>
      <c r="AE240" s="78"/>
      <c r="AF240" s="78"/>
      <c r="AG240" s="78"/>
      <c r="AH240" s="78"/>
      <c r="AI240" s="78"/>
    </row>
    <row r="241" spans="1:35">
      <c r="A241" s="78"/>
      <c r="B241" s="78"/>
      <c r="C241" s="78"/>
      <c r="D241" s="78"/>
      <c r="E241" s="78"/>
      <c r="F241" s="78"/>
      <c r="G241" s="78"/>
      <c r="H241" s="78"/>
      <c r="I241" s="78"/>
      <c r="J241" s="78"/>
      <c r="K241" s="78"/>
      <c r="L241" s="78"/>
      <c r="M241" s="78"/>
      <c r="N241" s="78"/>
      <c r="O241" s="78"/>
      <c r="P241" s="78"/>
      <c r="Q241" s="78"/>
      <c r="R241" s="78"/>
      <c r="S241" s="78"/>
      <c r="T241" s="78"/>
      <c r="U241" s="79"/>
      <c r="V241" s="78"/>
      <c r="W241" s="78"/>
      <c r="X241" s="78"/>
      <c r="Y241" s="67"/>
      <c r="Z241" s="78"/>
      <c r="AA241" s="78"/>
      <c r="AB241" s="78"/>
      <c r="AC241" s="78"/>
      <c r="AD241" s="78"/>
      <c r="AE241" s="78"/>
      <c r="AF241" s="78"/>
      <c r="AG241" s="78"/>
      <c r="AH241" s="78"/>
      <c r="AI241" s="78"/>
    </row>
    <row r="242" spans="1:35">
      <c r="A242" s="78"/>
      <c r="B242" s="78"/>
      <c r="C242" s="78"/>
      <c r="D242" s="78"/>
      <c r="E242" s="78"/>
      <c r="F242" s="78"/>
      <c r="G242" s="78"/>
      <c r="H242" s="78"/>
      <c r="I242" s="78"/>
      <c r="J242" s="78"/>
      <c r="K242" s="78"/>
      <c r="L242" s="78"/>
      <c r="M242" s="78"/>
      <c r="N242" s="78"/>
      <c r="O242" s="78"/>
      <c r="P242" s="78"/>
      <c r="Q242" s="78"/>
      <c r="R242" s="78"/>
      <c r="S242" s="78"/>
      <c r="T242" s="78"/>
      <c r="U242" s="79"/>
      <c r="V242" s="78"/>
      <c r="W242" s="78"/>
      <c r="X242" s="78"/>
      <c r="Y242" s="67"/>
      <c r="Z242" s="78"/>
      <c r="AA242" s="78"/>
      <c r="AB242" s="78"/>
      <c r="AC242" s="78"/>
      <c r="AD242" s="78"/>
      <c r="AE242" s="78"/>
      <c r="AF242" s="78"/>
      <c r="AG242" s="78"/>
      <c r="AH242" s="78"/>
      <c r="AI242" s="78"/>
    </row>
    <row r="243" spans="1:35">
      <c r="A243" s="78"/>
      <c r="B243" s="78"/>
      <c r="C243" s="78"/>
      <c r="D243" s="78"/>
      <c r="E243" s="78"/>
      <c r="F243" s="78"/>
      <c r="G243" s="78"/>
      <c r="H243" s="78"/>
      <c r="I243" s="78"/>
      <c r="J243" s="78"/>
      <c r="K243" s="78"/>
      <c r="L243" s="78"/>
      <c r="M243" s="78"/>
      <c r="N243" s="78"/>
      <c r="O243" s="78"/>
      <c r="P243" s="78"/>
      <c r="Q243" s="78"/>
      <c r="R243" s="78"/>
      <c r="S243" s="78"/>
      <c r="T243" s="78"/>
      <c r="U243" s="79"/>
      <c r="V243" s="78"/>
      <c r="W243" s="78"/>
      <c r="X243" s="78"/>
      <c r="Y243" s="67"/>
      <c r="Z243" s="78"/>
      <c r="AA243" s="78"/>
      <c r="AB243" s="78"/>
      <c r="AC243" s="78"/>
      <c r="AD243" s="78"/>
      <c r="AE243" s="78"/>
      <c r="AF243" s="78"/>
      <c r="AG243" s="78"/>
      <c r="AH243" s="78"/>
      <c r="AI243" s="78"/>
    </row>
    <row r="244" spans="1:35">
      <c r="A244" s="78"/>
      <c r="B244" s="78"/>
      <c r="C244" s="78"/>
      <c r="D244" s="78"/>
      <c r="E244" s="78"/>
      <c r="F244" s="78"/>
      <c r="G244" s="78"/>
      <c r="H244" s="78"/>
      <c r="I244" s="78"/>
      <c r="J244" s="78"/>
      <c r="K244" s="78"/>
      <c r="L244" s="78"/>
      <c r="M244" s="78"/>
      <c r="N244" s="78"/>
      <c r="O244" s="78"/>
      <c r="P244" s="78"/>
      <c r="Q244" s="78"/>
      <c r="R244" s="78"/>
      <c r="S244" s="78"/>
      <c r="T244" s="78"/>
      <c r="U244" s="79"/>
      <c r="V244" s="78"/>
      <c r="W244" s="78"/>
      <c r="X244" s="78"/>
      <c r="Y244" s="67"/>
      <c r="Z244" s="78"/>
      <c r="AA244" s="78"/>
      <c r="AB244" s="78"/>
      <c r="AC244" s="78"/>
      <c r="AD244" s="78"/>
      <c r="AE244" s="78"/>
      <c r="AF244" s="78"/>
      <c r="AG244" s="78"/>
      <c r="AH244" s="78"/>
      <c r="AI244" s="78"/>
    </row>
    <row r="245" spans="1:35">
      <c r="A245" s="78"/>
      <c r="B245" s="78"/>
      <c r="C245" s="78"/>
      <c r="D245" s="78"/>
      <c r="E245" s="78"/>
      <c r="F245" s="78"/>
      <c r="G245" s="78"/>
      <c r="H245" s="78"/>
      <c r="I245" s="78"/>
      <c r="J245" s="78"/>
      <c r="K245" s="78"/>
      <c r="L245" s="78"/>
      <c r="M245" s="78"/>
      <c r="N245" s="78"/>
      <c r="O245" s="78"/>
      <c r="P245" s="78"/>
      <c r="Q245" s="78"/>
      <c r="R245" s="78"/>
      <c r="S245" s="78"/>
      <c r="T245" s="78"/>
      <c r="U245" s="79"/>
      <c r="V245" s="78"/>
      <c r="W245" s="78"/>
      <c r="X245" s="78"/>
      <c r="Y245" s="67"/>
      <c r="Z245" s="78"/>
      <c r="AA245" s="78"/>
      <c r="AB245" s="78"/>
      <c r="AC245" s="78"/>
      <c r="AD245" s="78"/>
      <c r="AE245" s="78"/>
      <c r="AF245" s="78"/>
      <c r="AG245" s="78"/>
      <c r="AH245" s="78"/>
      <c r="AI245" s="78"/>
    </row>
    <row r="246" spans="1:35">
      <c r="A246" s="78"/>
      <c r="B246" s="78"/>
      <c r="C246" s="78"/>
      <c r="D246" s="78"/>
      <c r="E246" s="78"/>
      <c r="F246" s="78"/>
      <c r="G246" s="78"/>
      <c r="H246" s="78"/>
      <c r="I246" s="78"/>
      <c r="J246" s="78"/>
      <c r="K246" s="78"/>
      <c r="L246" s="78"/>
      <c r="M246" s="78"/>
      <c r="N246" s="78"/>
      <c r="O246" s="78"/>
      <c r="P246" s="78"/>
      <c r="Q246" s="78"/>
      <c r="R246" s="78"/>
      <c r="S246" s="78"/>
      <c r="T246" s="78"/>
      <c r="U246" s="79"/>
      <c r="V246" s="78"/>
      <c r="W246" s="78"/>
      <c r="X246" s="78"/>
      <c r="Y246" s="67"/>
      <c r="Z246" s="78"/>
      <c r="AA246" s="78"/>
      <c r="AB246" s="78"/>
      <c r="AC246" s="78"/>
      <c r="AD246" s="78"/>
      <c r="AE246" s="78"/>
      <c r="AF246" s="78"/>
      <c r="AG246" s="78"/>
      <c r="AH246" s="78"/>
      <c r="AI246" s="78"/>
    </row>
    <row r="247" spans="1:35">
      <c r="A247" s="78"/>
      <c r="B247" s="78"/>
      <c r="C247" s="78"/>
      <c r="D247" s="78"/>
      <c r="E247" s="78"/>
      <c r="F247" s="78"/>
      <c r="G247" s="78"/>
      <c r="H247" s="78"/>
      <c r="I247" s="78"/>
      <c r="J247" s="78"/>
      <c r="K247" s="78"/>
      <c r="L247" s="78"/>
      <c r="M247" s="78"/>
      <c r="N247" s="78"/>
      <c r="O247" s="78"/>
      <c r="P247" s="78"/>
      <c r="Q247" s="78"/>
      <c r="R247" s="78"/>
      <c r="S247" s="78"/>
      <c r="T247" s="78"/>
      <c r="U247" s="79"/>
      <c r="V247" s="78"/>
      <c r="W247" s="78"/>
      <c r="X247" s="78"/>
      <c r="Y247" s="67"/>
      <c r="Z247" s="78"/>
      <c r="AA247" s="78"/>
      <c r="AB247" s="78"/>
      <c r="AC247" s="78"/>
      <c r="AD247" s="78"/>
      <c r="AE247" s="78"/>
      <c r="AF247" s="78"/>
      <c r="AG247" s="78"/>
      <c r="AH247" s="78"/>
      <c r="AI247" s="78"/>
    </row>
    <row r="248" spans="1:35">
      <c r="A248" s="78"/>
      <c r="B248" s="78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78"/>
      <c r="N248" s="78"/>
      <c r="O248" s="78"/>
      <c r="P248" s="78"/>
      <c r="Q248" s="78"/>
      <c r="R248" s="78"/>
      <c r="S248" s="78"/>
      <c r="T248" s="78"/>
      <c r="U248" s="79"/>
      <c r="V248" s="78"/>
      <c r="W248" s="78"/>
      <c r="X248" s="78"/>
      <c r="Y248" s="67"/>
      <c r="Z248" s="78"/>
      <c r="AA248" s="78"/>
      <c r="AB248" s="78"/>
      <c r="AC248" s="78"/>
      <c r="AD248" s="78"/>
      <c r="AE248" s="78"/>
      <c r="AF248" s="78"/>
      <c r="AG248" s="78"/>
      <c r="AH248" s="78"/>
      <c r="AI248" s="78"/>
    </row>
    <row r="249" spans="1:35">
      <c r="A249" s="78"/>
      <c r="B249" s="78"/>
      <c r="C249" s="78"/>
      <c r="D249" s="78"/>
      <c r="E249" s="78"/>
      <c r="F249" s="78"/>
      <c r="G249" s="78"/>
      <c r="H249" s="78"/>
      <c r="I249" s="78"/>
      <c r="J249" s="78"/>
      <c r="K249" s="78"/>
      <c r="L249" s="78"/>
      <c r="M249" s="78"/>
      <c r="N249" s="78"/>
      <c r="O249" s="78"/>
      <c r="P249" s="78"/>
      <c r="Q249" s="78"/>
      <c r="R249" s="78"/>
      <c r="S249" s="78"/>
      <c r="T249" s="78"/>
      <c r="U249" s="79"/>
      <c r="V249" s="78"/>
      <c r="W249" s="78"/>
      <c r="X249" s="78"/>
      <c r="Y249" s="67"/>
      <c r="Z249" s="78"/>
      <c r="AA249" s="78"/>
      <c r="AB249" s="78"/>
      <c r="AC249" s="78"/>
      <c r="AD249" s="78"/>
      <c r="AE249" s="78"/>
      <c r="AF249" s="78"/>
      <c r="AG249" s="78"/>
      <c r="AH249" s="78"/>
      <c r="AI249" s="78"/>
    </row>
    <row r="250" spans="1:35">
      <c r="A250" s="78"/>
      <c r="B250" s="78"/>
      <c r="C250" s="78"/>
      <c r="D250" s="78"/>
      <c r="E250" s="78"/>
      <c r="F250" s="78"/>
      <c r="G250" s="78"/>
      <c r="H250" s="78"/>
      <c r="I250" s="78"/>
      <c r="J250" s="78"/>
      <c r="K250" s="78"/>
      <c r="L250" s="78"/>
      <c r="M250" s="78"/>
      <c r="N250" s="78"/>
      <c r="O250" s="78"/>
      <c r="P250" s="78"/>
      <c r="Q250" s="78"/>
      <c r="R250" s="78"/>
      <c r="S250" s="78"/>
      <c r="T250" s="78"/>
      <c r="U250" s="79"/>
      <c r="V250" s="78"/>
      <c r="W250" s="78"/>
      <c r="X250" s="78"/>
      <c r="Y250" s="67"/>
      <c r="Z250" s="78"/>
      <c r="AA250" s="78"/>
      <c r="AB250" s="78"/>
      <c r="AC250" s="78"/>
      <c r="AD250" s="78"/>
      <c r="AE250" s="78"/>
      <c r="AF250" s="78"/>
      <c r="AG250" s="78"/>
      <c r="AH250" s="78"/>
      <c r="AI250" s="78"/>
    </row>
    <row r="251" spans="1:35">
      <c r="A251" s="78"/>
      <c r="B251" s="78"/>
      <c r="C251" s="78"/>
      <c r="D251" s="78"/>
      <c r="E251" s="78"/>
      <c r="F251" s="78"/>
      <c r="G251" s="78"/>
      <c r="H251" s="78"/>
      <c r="I251" s="78"/>
      <c r="J251" s="78"/>
      <c r="K251" s="78"/>
      <c r="L251" s="78"/>
      <c r="M251" s="78"/>
      <c r="N251" s="78"/>
      <c r="O251" s="78"/>
      <c r="P251" s="78"/>
      <c r="Q251" s="78"/>
      <c r="R251" s="78"/>
      <c r="S251" s="78"/>
      <c r="T251" s="78"/>
      <c r="U251" s="79"/>
      <c r="V251" s="78"/>
      <c r="W251" s="78"/>
      <c r="X251" s="78"/>
      <c r="Y251" s="67"/>
      <c r="Z251" s="78"/>
      <c r="AA251" s="78"/>
      <c r="AB251" s="78"/>
      <c r="AC251" s="78"/>
      <c r="AD251" s="78"/>
      <c r="AE251" s="78"/>
      <c r="AF251" s="78"/>
      <c r="AG251" s="78"/>
      <c r="AH251" s="78"/>
      <c r="AI251" s="78"/>
    </row>
    <row r="252" spans="1:35">
      <c r="A252" s="78"/>
      <c r="B252" s="78"/>
      <c r="C252" s="78"/>
      <c r="D252" s="78"/>
      <c r="E252" s="78"/>
      <c r="F252" s="78"/>
      <c r="G252" s="78"/>
      <c r="H252" s="78"/>
      <c r="I252" s="78"/>
      <c r="J252" s="78"/>
      <c r="K252" s="78"/>
      <c r="L252" s="78"/>
      <c r="M252" s="78"/>
      <c r="N252" s="78"/>
      <c r="O252" s="78"/>
      <c r="P252" s="78"/>
      <c r="Q252" s="78"/>
      <c r="R252" s="78"/>
      <c r="S252" s="78"/>
      <c r="T252" s="78"/>
      <c r="U252" s="79"/>
      <c r="V252" s="78"/>
      <c r="W252" s="78"/>
      <c r="X252" s="78"/>
      <c r="Y252" s="67"/>
      <c r="Z252" s="78"/>
      <c r="AA252" s="78"/>
      <c r="AB252" s="78"/>
      <c r="AC252" s="78"/>
      <c r="AD252" s="78"/>
      <c r="AE252" s="78"/>
      <c r="AF252" s="78"/>
      <c r="AG252" s="78"/>
      <c r="AH252" s="78"/>
      <c r="AI252" s="78"/>
    </row>
    <row r="253" spans="1:35">
      <c r="A253" s="78"/>
      <c r="B253" s="78"/>
      <c r="C253" s="78"/>
      <c r="D253" s="78"/>
      <c r="E253" s="78"/>
      <c r="F253" s="78"/>
      <c r="G253" s="78"/>
      <c r="H253" s="78"/>
      <c r="I253" s="78"/>
      <c r="J253" s="78"/>
      <c r="K253" s="78"/>
      <c r="L253" s="78"/>
      <c r="M253" s="78"/>
      <c r="N253" s="78"/>
      <c r="O253" s="78"/>
      <c r="P253" s="78"/>
      <c r="Q253" s="78"/>
      <c r="R253" s="78"/>
      <c r="S253" s="78"/>
      <c r="T253" s="78"/>
      <c r="U253" s="79"/>
      <c r="V253" s="78"/>
      <c r="W253" s="78"/>
      <c r="X253" s="78"/>
      <c r="Y253" s="67"/>
      <c r="Z253" s="78"/>
      <c r="AA253" s="78"/>
      <c r="AB253" s="78"/>
      <c r="AC253" s="78"/>
      <c r="AD253" s="78"/>
      <c r="AE253" s="78"/>
      <c r="AF253" s="78"/>
      <c r="AG253" s="78"/>
      <c r="AH253" s="78"/>
      <c r="AI253" s="78"/>
    </row>
    <row r="254" spans="1:35">
      <c r="A254" s="78"/>
      <c r="B254" s="78"/>
      <c r="C254" s="78"/>
      <c r="D254" s="78"/>
      <c r="E254" s="78"/>
      <c r="F254" s="78"/>
      <c r="G254" s="78"/>
      <c r="H254" s="78"/>
      <c r="I254" s="78"/>
      <c r="J254" s="78"/>
      <c r="K254" s="78"/>
      <c r="L254" s="78"/>
      <c r="M254" s="78"/>
      <c r="N254" s="78"/>
      <c r="O254" s="78"/>
      <c r="P254" s="78"/>
      <c r="Q254" s="78"/>
      <c r="R254" s="78"/>
      <c r="S254" s="78"/>
      <c r="T254" s="78"/>
      <c r="U254" s="79"/>
      <c r="V254" s="78"/>
      <c r="W254" s="78"/>
      <c r="X254" s="78"/>
      <c r="Y254" s="67"/>
      <c r="Z254" s="78"/>
      <c r="AA254" s="78"/>
      <c r="AB254" s="78"/>
      <c r="AC254" s="78"/>
      <c r="AD254" s="78"/>
      <c r="AE254" s="78"/>
      <c r="AF254" s="78"/>
      <c r="AG254" s="78"/>
      <c r="AH254" s="78"/>
      <c r="AI254" s="78"/>
    </row>
    <row r="255" spans="1:35">
      <c r="A255" s="78"/>
      <c r="B255" s="78"/>
      <c r="C255" s="78"/>
      <c r="D255" s="78"/>
      <c r="E255" s="78"/>
      <c r="F255" s="78"/>
      <c r="G255" s="78"/>
      <c r="H255" s="78"/>
      <c r="I255" s="78"/>
      <c r="J255" s="78"/>
      <c r="K255" s="78"/>
      <c r="L255" s="78"/>
      <c r="M255" s="78"/>
      <c r="N255" s="78"/>
      <c r="O255" s="78"/>
      <c r="P255" s="78"/>
      <c r="Q255" s="78"/>
      <c r="R255" s="78"/>
      <c r="S255" s="78"/>
      <c r="T255" s="78"/>
      <c r="U255" s="79"/>
      <c r="V255" s="78"/>
      <c r="W255" s="78"/>
      <c r="X255" s="78"/>
      <c r="Y255" s="67"/>
      <c r="Z255" s="78"/>
      <c r="AA255" s="78"/>
      <c r="AB255" s="78"/>
      <c r="AC255" s="78"/>
      <c r="AD255" s="78"/>
      <c r="AE255" s="78"/>
      <c r="AF255" s="78"/>
      <c r="AG255" s="78"/>
      <c r="AH255" s="78"/>
      <c r="AI255" s="78"/>
    </row>
    <row r="256" spans="1:35">
      <c r="A256" s="78"/>
      <c r="B256" s="78"/>
      <c r="C256" s="78"/>
      <c r="D256" s="78"/>
      <c r="E256" s="78"/>
      <c r="F256" s="78"/>
      <c r="G256" s="78"/>
      <c r="H256" s="78"/>
      <c r="I256" s="78"/>
      <c r="J256" s="78"/>
      <c r="K256" s="78"/>
      <c r="L256" s="78"/>
      <c r="M256" s="78"/>
      <c r="N256" s="78"/>
      <c r="O256" s="78"/>
      <c r="P256" s="78"/>
      <c r="Q256" s="78"/>
      <c r="R256" s="78"/>
      <c r="S256" s="78"/>
      <c r="T256" s="78"/>
      <c r="U256" s="79"/>
      <c r="V256" s="78"/>
      <c r="W256" s="78"/>
      <c r="X256" s="78"/>
      <c r="Y256" s="67"/>
      <c r="Z256" s="78"/>
      <c r="AA256" s="78"/>
      <c r="AB256" s="78"/>
      <c r="AC256" s="78"/>
      <c r="AD256" s="78"/>
      <c r="AE256" s="78"/>
      <c r="AF256" s="78"/>
      <c r="AG256" s="78"/>
      <c r="AH256" s="78"/>
      <c r="AI256" s="78"/>
    </row>
    <row r="257" spans="1:35">
      <c r="A257" s="78"/>
      <c r="B257" s="78"/>
      <c r="C257" s="78"/>
      <c r="D257" s="78"/>
      <c r="E257" s="78"/>
      <c r="F257" s="78"/>
      <c r="G257" s="78"/>
      <c r="H257" s="78"/>
      <c r="I257" s="78"/>
      <c r="J257" s="78"/>
      <c r="K257" s="78"/>
      <c r="L257" s="78"/>
      <c r="M257" s="78"/>
      <c r="N257" s="78"/>
      <c r="O257" s="78"/>
      <c r="P257" s="78"/>
      <c r="Q257" s="78"/>
      <c r="R257" s="78"/>
      <c r="S257" s="78"/>
      <c r="T257" s="78"/>
      <c r="U257" s="79"/>
      <c r="V257" s="78"/>
      <c r="W257" s="78"/>
      <c r="X257" s="78"/>
      <c r="Y257" s="67"/>
      <c r="Z257" s="78"/>
      <c r="AA257" s="78"/>
      <c r="AB257" s="78"/>
      <c r="AC257" s="78"/>
      <c r="AD257" s="78"/>
      <c r="AE257" s="78"/>
      <c r="AF257" s="78"/>
      <c r="AG257" s="78"/>
      <c r="AH257" s="78"/>
      <c r="AI257" s="78"/>
    </row>
    <row r="258" spans="1:35">
      <c r="A258" s="78"/>
      <c r="B258" s="78"/>
      <c r="C258" s="78"/>
      <c r="D258" s="78"/>
      <c r="E258" s="78"/>
      <c r="F258" s="78"/>
      <c r="G258" s="78"/>
      <c r="H258" s="78"/>
      <c r="I258" s="78"/>
      <c r="J258" s="78"/>
      <c r="K258" s="78"/>
      <c r="L258" s="78"/>
      <c r="M258" s="78"/>
      <c r="N258" s="78"/>
      <c r="O258" s="78"/>
      <c r="P258" s="78"/>
      <c r="Q258" s="78"/>
      <c r="R258" s="78"/>
      <c r="S258" s="78"/>
      <c r="T258" s="78"/>
      <c r="U258" s="79"/>
      <c r="V258" s="78"/>
      <c r="W258" s="78"/>
      <c r="X258" s="78"/>
      <c r="Y258" s="67"/>
      <c r="Z258" s="78"/>
      <c r="AA258" s="78"/>
      <c r="AB258" s="78"/>
      <c r="AC258" s="78"/>
      <c r="AD258" s="78"/>
      <c r="AE258" s="78"/>
      <c r="AF258" s="78"/>
      <c r="AG258" s="78"/>
      <c r="AH258" s="78"/>
      <c r="AI258" s="78"/>
    </row>
    <row r="259" spans="1:35">
      <c r="A259" s="78"/>
      <c r="B259" s="78"/>
      <c r="C259" s="78"/>
      <c r="D259" s="78"/>
      <c r="E259" s="78"/>
      <c r="F259" s="78"/>
      <c r="G259" s="78"/>
      <c r="H259" s="78"/>
      <c r="I259" s="78"/>
      <c r="J259" s="78"/>
      <c r="K259" s="78"/>
      <c r="L259" s="78"/>
      <c r="M259" s="78"/>
      <c r="N259" s="78"/>
      <c r="O259" s="78"/>
      <c r="P259" s="78"/>
      <c r="Q259" s="78"/>
      <c r="R259" s="78"/>
      <c r="S259" s="78"/>
      <c r="T259" s="78"/>
      <c r="U259" s="79"/>
      <c r="V259" s="78"/>
      <c r="W259" s="78"/>
      <c r="X259" s="78"/>
      <c r="Y259" s="67"/>
      <c r="Z259" s="78"/>
      <c r="AA259" s="78"/>
      <c r="AB259" s="78"/>
      <c r="AC259" s="78"/>
      <c r="AD259" s="78"/>
      <c r="AE259" s="78"/>
      <c r="AF259" s="78"/>
      <c r="AG259" s="78"/>
      <c r="AH259" s="78"/>
      <c r="AI259" s="78"/>
    </row>
    <row r="260" spans="1:35">
      <c r="A260" s="78"/>
      <c r="B260" s="78"/>
      <c r="C260" s="78"/>
      <c r="D260" s="78"/>
      <c r="E260" s="78"/>
      <c r="F260" s="78"/>
      <c r="G260" s="78"/>
      <c r="H260" s="78"/>
      <c r="I260" s="78"/>
      <c r="J260" s="78"/>
      <c r="K260" s="78"/>
      <c r="L260" s="78"/>
      <c r="M260" s="78"/>
      <c r="N260" s="78"/>
      <c r="O260" s="78"/>
      <c r="P260" s="78"/>
      <c r="Q260" s="78"/>
      <c r="R260" s="78"/>
      <c r="S260" s="78"/>
      <c r="T260" s="78"/>
      <c r="U260" s="79"/>
      <c r="V260" s="78"/>
      <c r="W260" s="78"/>
      <c r="X260" s="78"/>
      <c r="Y260" s="67"/>
      <c r="Z260" s="78"/>
      <c r="AA260" s="78"/>
      <c r="AB260" s="78"/>
      <c r="AC260" s="78"/>
      <c r="AD260" s="78"/>
      <c r="AE260" s="78"/>
      <c r="AF260" s="78"/>
      <c r="AG260" s="78"/>
      <c r="AH260" s="78"/>
      <c r="AI260" s="78"/>
    </row>
    <row r="261" spans="1:35">
      <c r="A261" s="78"/>
      <c r="B261" s="78"/>
      <c r="C261" s="78"/>
      <c r="D261" s="78"/>
      <c r="E261" s="78"/>
      <c r="F261" s="78"/>
      <c r="G261" s="78"/>
      <c r="H261" s="78"/>
      <c r="I261" s="78"/>
      <c r="J261" s="78"/>
      <c r="K261" s="78"/>
      <c r="L261" s="78"/>
      <c r="M261" s="78"/>
      <c r="N261" s="78"/>
      <c r="O261" s="78"/>
      <c r="P261" s="78"/>
      <c r="Q261" s="78"/>
      <c r="R261" s="78"/>
      <c r="S261" s="78"/>
      <c r="T261" s="78"/>
      <c r="U261" s="79"/>
      <c r="V261" s="78"/>
      <c r="W261" s="78"/>
      <c r="X261" s="78"/>
      <c r="Y261" s="67"/>
      <c r="Z261" s="78"/>
      <c r="AA261" s="78"/>
      <c r="AB261" s="78"/>
      <c r="AC261" s="78"/>
      <c r="AD261" s="78"/>
      <c r="AE261" s="78"/>
      <c r="AF261" s="78"/>
      <c r="AG261" s="78"/>
      <c r="AH261" s="78"/>
      <c r="AI261" s="78"/>
    </row>
    <row r="262" spans="1:35">
      <c r="A262" s="78"/>
      <c r="B262" s="78"/>
      <c r="C262" s="78"/>
      <c r="D262" s="78"/>
      <c r="E262" s="78"/>
      <c r="F262" s="78"/>
      <c r="G262" s="78"/>
      <c r="H262" s="78"/>
      <c r="I262" s="78"/>
      <c r="J262" s="78"/>
      <c r="K262" s="78"/>
      <c r="L262" s="78"/>
      <c r="M262" s="78"/>
      <c r="N262" s="78"/>
      <c r="O262" s="78"/>
      <c r="P262" s="78"/>
      <c r="Q262" s="78"/>
      <c r="R262" s="78"/>
      <c r="S262" s="78"/>
      <c r="T262" s="78"/>
      <c r="U262" s="79"/>
      <c r="V262" s="78"/>
      <c r="W262" s="78"/>
      <c r="X262" s="78"/>
      <c r="Y262" s="67"/>
      <c r="Z262" s="78"/>
      <c r="AA262" s="78"/>
      <c r="AB262" s="78"/>
      <c r="AC262" s="78"/>
      <c r="AD262" s="78"/>
      <c r="AE262" s="78"/>
      <c r="AF262" s="78"/>
      <c r="AG262" s="78"/>
      <c r="AH262" s="78"/>
      <c r="AI262" s="78"/>
    </row>
    <row r="263" spans="1:35">
      <c r="A263" s="78"/>
      <c r="B263" s="78"/>
      <c r="C263" s="78"/>
      <c r="D263" s="78"/>
      <c r="E263" s="78"/>
      <c r="F263" s="78"/>
      <c r="G263" s="78"/>
      <c r="H263" s="78"/>
      <c r="I263" s="78"/>
      <c r="J263" s="78"/>
      <c r="K263" s="78"/>
      <c r="L263" s="78"/>
      <c r="M263" s="78"/>
      <c r="N263" s="78"/>
      <c r="O263" s="78"/>
      <c r="P263" s="78"/>
      <c r="Q263" s="78"/>
      <c r="R263" s="78"/>
      <c r="S263" s="78"/>
      <c r="T263" s="78"/>
      <c r="U263" s="79"/>
      <c r="V263" s="78"/>
      <c r="W263" s="78"/>
      <c r="X263" s="78"/>
      <c r="Y263" s="67"/>
      <c r="Z263" s="78"/>
      <c r="AA263" s="78"/>
      <c r="AB263" s="78"/>
      <c r="AC263" s="78"/>
      <c r="AD263" s="78"/>
      <c r="AE263" s="78"/>
      <c r="AF263" s="78"/>
      <c r="AG263" s="78"/>
      <c r="AH263" s="78"/>
      <c r="AI263" s="78"/>
    </row>
    <row r="264" spans="1:35">
      <c r="A264" s="78"/>
      <c r="B264" s="78"/>
      <c r="C264" s="78"/>
      <c r="D264" s="78"/>
      <c r="E264" s="78"/>
      <c r="F264" s="78"/>
      <c r="G264" s="78"/>
      <c r="H264" s="78"/>
      <c r="I264" s="78"/>
      <c r="J264" s="78"/>
      <c r="K264" s="78"/>
      <c r="L264" s="78"/>
      <c r="M264" s="78"/>
      <c r="N264" s="78"/>
      <c r="O264" s="78"/>
      <c r="P264" s="78"/>
      <c r="Q264" s="78"/>
      <c r="R264" s="78"/>
      <c r="S264" s="78"/>
      <c r="T264" s="78"/>
      <c r="U264" s="79"/>
      <c r="V264" s="78"/>
      <c r="W264" s="78"/>
      <c r="X264" s="78"/>
      <c r="Y264" s="67"/>
      <c r="Z264" s="78"/>
      <c r="AA264" s="78"/>
      <c r="AB264" s="78"/>
      <c r="AC264" s="78"/>
      <c r="AD264" s="78"/>
      <c r="AE264" s="78"/>
      <c r="AF264" s="78"/>
      <c r="AG264" s="78"/>
      <c r="AH264" s="78"/>
      <c r="AI264" s="78"/>
    </row>
    <row r="265" spans="1:35">
      <c r="A265" s="78"/>
      <c r="B265" s="78"/>
      <c r="C265" s="78"/>
      <c r="D265" s="78"/>
      <c r="E265" s="78"/>
      <c r="F265" s="78"/>
      <c r="G265" s="78"/>
      <c r="H265" s="78"/>
      <c r="I265" s="78"/>
      <c r="J265" s="78"/>
      <c r="K265" s="78"/>
      <c r="L265" s="78"/>
      <c r="M265" s="78"/>
      <c r="N265" s="78"/>
      <c r="O265" s="78"/>
      <c r="P265" s="78"/>
      <c r="Q265" s="78"/>
      <c r="R265" s="78"/>
      <c r="S265" s="78"/>
      <c r="T265" s="78"/>
      <c r="U265" s="79"/>
      <c r="V265" s="78"/>
      <c r="W265" s="78"/>
      <c r="X265" s="78"/>
      <c r="Y265" s="67"/>
      <c r="Z265" s="78"/>
      <c r="AA265" s="78"/>
      <c r="AB265" s="78"/>
      <c r="AC265" s="78"/>
      <c r="AD265" s="78"/>
      <c r="AE265" s="78"/>
      <c r="AF265" s="78"/>
      <c r="AG265" s="78"/>
      <c r="AH265" s="78"/>
      <c r="AI265" s="78"/>
    </row>
    <row r="266" spans="1:35">
      <c r="A266" s="78"/>
      <c r="B266" s="78"/>
      <c r="C266" s="78"/>
      <c r="D266" s="78"/>
      <c r="E266" s="78"/>
      <c r="F266" s="78"/>
      <c r="G266" s="78"/>
      <c r="H266" s="78"/>
      <c r="I266" s="78"/>
      <c r="J266" s="78"/>
      <c r="K266" s="78"/>
      <c r="L266" s="78"/>
      <c r="M266" s="78"/>
      <c r="N266" s="78"/>
      <c r="O266" s="78"/>
      <c r="P266" s="78"/>
      <c r="Q266" s="78"/>
      <c r="R266" s="78"/>
      <c r="S266" s="78"/>
      <c r="T266" s="78"/>
      <c r="U266" s="79"/>
      <c r="V266" s="78"/>
      <c r="W266" s="78"/>
      <c r="X266" s="78"/>
      <c r="Y266" s="67"/>
      <c r="Z266" s="78"/>
      <c r="AA266" s="78"/>
      <c r="AB266" s="78"/>
      <c r="AC266" s="78"/>
      <c r="AD266" s="78"/>
      <c r="AE266" s="78"/>
      <c r="AF266" s="78"/>
      <c r="AG266" s="78"/>
      <c r="AH266" s="78"/>
      <c r="AI266" s="78"/>
    </row>
    <row r="267" spans="1:35">
      <c r="A267" s="78"/>
      <c r="B267" s="78"/>
      <c r="C267" s="78"/>
      <c r="D267" s="78"/>
      <c r="E267" s="78"/>
      <c r="F267" s="78"/>
      <c r="G267" s="78"/>
      <c r="H267" s="78"/>
      <c r="I267" s="78"/>
      <c r="J267" s="78"/>
      <c r="K267" s="78"/>
      <c r="L267" s="78"/>
      <c r="M267" s="78"/>
      <c r="N267" s="78"/>
      <c r="O267" s="78"/>
      <c r="P267" s="78"/>
      <c r="Q267" s="78"/>
      <c r="R267" s="78"/>
      <c r="S267" s="78"/>
      <c r="T267" s="78"/>
      <c r="U267" s="79"/>
      <c r="V267" s="78"/>
      <c r="W267" s="78"/>
      <c r="X267" s="78"/>
      <c r="Y267" s="67"/>
      <c r="Z267" s="78"/>
      <c r="AA267" s="78"/>
      <c r="AB267" s="78"/>
      <c r="AC267" s="78"/>
      <c r="AD267" s="78"/>
      <c r="AE267" s="78"/>
      <c r="AF267" s="78"/>
      <c r="AG267" s="78"/>
      <c r="AH267" s="78"/>
      <c r="AI267" s="78"/>
    </row>
    <row r="268" spans="1:35">
      <c r="A268" s="78"/>
      <c r="B268" s="78"/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78"/>
      <c r="N268" s="78"/>
      <c r="O268" s="78"/>
      <c r="P268" s="78"/>
      <c r="Q268" s="78"/>
      <c r="R268" s="78"/>
      <c r="S268" s="78"/>
      <c r="T268" s="78"/>
      <c r="U268" s="79"/>
      <c r="V268" s="78"/>
      <c r="W268" s="78"/>
      <c r="X268" s="78"/>
      <c r="Y268" s="67"/>
      <c r="Z268" s="78"/>
      <c r="AA268" s="78"/>
      <c r="AB268" s="78"/>
      <c r="AC268" s="78"/>
      <c r="AD268" s="78"/>
      <c r="AE268" s="78"/>
      <c r="AF268" s="78"/>
      <c r="AG268" s="78"/>
      <c r="AH268" s="78"/>
      <c r="AI268" s="78"/>
    </row>
    <row r="269" spans="1:35">
      <c r="A269" s="78"/>
      <c r="B269" s="78"/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78"/>
      <c r="N269" s="78"/>
      <c r="O269" s="78"/>
      <c r="P269" s="78"/>
      <c r="Q269" s="78"/>
      <c r="R269" s="78"/>
      <c r="S269" s="78"/>
      <c r="T269" s="78"/>
      <c r="U269" s="79"/>
      <c r="V269" s="78"/>
      <c r="W269" s="78"/>
      <c r="X269" s="78"/>
      <c r="Y269" s="67"/>
      <c r="Z269" s="78"/>
      <c r="AA269" s="78"/>
      <c r="AB269" s="78"/>
      <c r="AC269" s="78"/>
      <c r="AD269" s="78"/>
      <c r="AE269" s="78"/>
      <c r="AF269" s="78"/>
      <c r="AG269" s="78"/>
      <c r="AH269" s="78"/>
      <c r="AI269" s="78"/>
    </row>
    <row r="270" spans="1:35">
      <c r="A270" s="78"/>
      <c r="B270" s="78"/>
      <c r="C270" s="78"/>
      <c r="D270" s="78"/>
      <c r="E270" s="78"/>
      <c r="F270" s="78"/>
      <c r="G270" s="78"/>
      <c r="H270" s="78"/>
      <c r="I270" s="78"/>
      <c r="J270" s="78"/>
      <c r="K270" s="78"/>
      <c r="L270" s="78"/>
      <c r="M270" s="78"/>
      <c r="N270" s="78"/>
      <c r="O270" s="78"/>
      <c r="P270" s="78"/>
      <c r="Q270" s="78"/>
      <c r="R270" s="78"/>
      <c r="S270" s="78"/>
      <c r="T270" s="78"/>
      <c r="U270" s="79"/>
      <c r="V270" s="78"/>
      <c r="W270" s="78"/>
      <c r="X270" s="78"/>
      <c r="Y270" s="67"/>
      <c r="Z270" s="78"/>
      <c r="AA270" s="78"/>
      <c r="AB270" s="78"/>
      <c r="AC270" s="78"/>
      <c r="AD270" s="78"/>
      <c r="AE270" s="78"/>
      <c r="AF270" s="78"/>
      <c r="AG270" s="78"/>
      <c r="AH270" s="78"/>
      <c r="AI270" s="78"/>
    </row>
    <row r="271" spans="1:35">
      <c r="A271" s="78"/>
      <c r="B271" s="78"/>
      <c r="C271" s="78"/>
      <c r="D271" s="78"/>
      <c r="E271" s="78"/>
      <c r="F271" s="78"/>
      <c r="G271" s="78"/>
      <c r="H271" s="78"/>
      <c r="I271" s="78"/>
      <c r="J271" s="78"/>
      <c r="K271" s="78"/>
      <c r="L271" s="78"/>
      <c r="M271" s="78"/>
      <c r="N271" s="78"/>
      <c r="O271" s="78"/>
      <c r="P271" s="78"/>
      <c r="Q271" s="78"/>
      <c r="R271" s="78"/>
      <c r="S271" s="78"/>
      <c r="T271" s="78"/>
      <c r="U271" s="79"/>
      <c r="V271" s="78"/>
      <c r="W271" s="78"/>
      <c r="X271" s="78"/>
      <c r="Y271" s="67"/>
      <c r="Z271" s="78"/>
      <c r="AA271" s="78"/>
      <c r="AB271" s="78"/>
      <c r="AC271" s="78"/>
      <c r="AD271" s="78"/>
      <c r="AE271" s="78"/>
      <c r="AF271" s="78"/>
      <c r="AG271" s="78"/>
      <c r="AH271" s="78"/>
      <c r="AI271" s="78"/>
    </row>
    <row r="272" spans="1:35">
      <c r="A272" s="78"/>
      <c r="B272" s="78"/>
      <c r="C272" s="78"/>
      <c r="D272" s="78"/>
      <c r="E272" s="78"/>
      <c r="F272" s="78"/>
      <c r="G272" s="78"/>
      <c r="H272" s="78"/>
      <c r="I272" s="78"/>
      <c r="J272" s="78"/>
      <c r="K272" s="78"/>
      <c r="L272" s="78"/>
      <c r="M272" s="78"/>
      <c r="N272" s="78"/>
      <c r="O272" s="78"/>
      <c r="P272" s="78"/>
      <c r="Q272" s="78"/>
      <c r="R272" s="78"/>
      <c r="S272" s="78"/>
      <c r="T272" s="78"/>
      <c r="U272" s="79"/>
      <c r="V272" s="78"/>
      <c r="W272" s="78"/>
      <c r="X272" s="78"/>
      <c r="Y272" s="67"/>
      <c r="Z272" s="78"/>
      <c r="AA272" s="78"/>
      <c r="AB272" s="78"/>
      <c r="AC272" s="78"/>
      <c r="AD272" s="78"/>
      <c r="AE272" s="78"/>
      <c r="AF272" s="78"/>
      <c r="AG272" s="78"/>
      <c r="AH272" s="78"/>
      <c r="AI272" s="78"/>
    </row>
    <row r="273" spans="1:35">
      <c r="A273" s="78"/>
      <c r="B273" s="78"/>
      <c r="C273" s="78"/>
      <c r="D273" s="78"/>
      <c r="E273" s="78"/>
      <c r="F273" s="78"/>
      <c r="G273" s="78"/>
      <c r="H273" s="78"/>
      <c r="I273" s="78"/>
      <c r="J273" s="78"/>
      <c r="K273" s="78"/>
      <c r="L273" s="78"/>
      <c r="M273" s="78"/>
      <c r="N273" s="78"/>
      <c r="O273" s="78"/>
      <c r="P273" s="78"/>
      <c r="Q273" s="78"/>
      <c r="R273" s="78"/>
      <c r="S273" s="78"/>
      <c r="T273" s="78"/>
      <c r="U273" s="79"/>
      <c r="V273" s="78"/>
      <c r="W273" s="78"/>
      <c r="X273" s="78"/>
      <c r="Y273" s="67"/>
      <c r="Z273" s="78"/>
      <c r="AA273" s="78"/>
      <c r="AB273" s="78"/>
      <c r="AC273" s="78"/>
      <c r="AD273" s="78"/>
      <c r="AE273" s="78"/>
      <c r="AF273" s="78"/>
      <c r="AG273" s="78"/>
      <c r="AH273" s="78"/>
      <c r="AI273" s="78"/>
    </row>
    <row r="274" spans="1:35">
      <c r="A274" s="78"/>
      <c r="B274" s="78"/>
      <c r="C274" s="78"/>
      <c r="D274" s="78"/>
      <c r="E274" s="78"/>
      <c r="F274" s="78"/>
      <c r="G274" s="78"/>
      <c r="H274" s="78"/>
      <c r="I274" s="78"/>
      <c r="J274" s="78"/>
      <c r="K274" s="78"/>
      <c r="L274" s="78"/>
      <c r="M274" s="78"/>
      <c r="N274" s="78"/>
      <c r="O274" s="78"/>
      <c r="P274" s="78"/>
      <c r="Q274" s="78"/>
      <c r="R274" s="78"/>
      <c r="S274" s="78"/>
      <c r="T274" s="78"/>
      <c r="U274" s="79"/>
      <c r="V274" s="78"/>
      <c r="W274" s="78"/>
      <c r="X274" s="78"/>
      <c r="Y274" s="67"/>
      <c r="Z274" s="78"/>
      <c r="AA274" s="78"/>
      <c r="AB274" s="78"/>
      <c r="AC274" s="78"/>
      <c r="AD274" s="78"/>
      <c r="AE274" s="78"/>
      <c r="AF274" s="78"/>
      <c r="AG274" s="78"/>
      <c r="AH274" s="78"/>
      <c r="AI274" s="78"/>
    </row>
    <row r="275" spans="1:35">
      <c r="A275" s="78"/>
      <c r="B275" s="78"/>
      <c r="C275" s="78"/>
      <c r="D275" s="78"/>
      <c r="E275" s="78"/>
      <c r="F275" s="78"/>
      <c r="G275" s="78"/>
      <c r="H275" s="78"/>
      <c r="I275" s="78"/>
      <c r="J275" s="78"/>
      <c r="K275" s="78"/>
      <c r="L275" s="78"/>
      <c r="M275" s="78"/>
      <c r="N275" s="78"/>
      <c r="O275" s="78"/>
      <c r="P275" s="78"/>
      <c r="Q275" s="78"/>
      <c r="R275" s="78"/>
      <c r="S275" s="78"/>
      <c r="T275" s="78"/>
      <c r="U275" s="79"/>
      <c r="V275" s="78"/>
      <c r="W275" s="78"/>
      <c r="X275" s="78"/>
      <c r="Y275" s="67"/>
      <c r="Z275" s="78"/>
      <c r="AA275" s="78"/>
      <c r="AB275" s="78"/>
      <c r="AC275" s="78"/>
      <c r="AD275" s="78"/>
      <c r="AE275" s="78"/>
      <c r="AF275" s="78"/>
      <c r="AG275" s="78"/>
      <c r="AH275" s="78"/>
      <c r="AI275" s="78"/>
    </row>
    <row r="276" spans="1:35">
      <c r="A276" s="78"/>
      <c r="B276" s="78"/>
      <c r="C276" s="78"/>
      <c r="D276" s="78"/>
      <c r="E276" s="78"/>
      <c r="F276" s="78"/>
      <c r="G276" s="78"/>
      <c r="H276" s="78"/>
      <c r="I276" s="78"/>
      <c r="J276" s="78"/>
      <c r="K276" s="78"/>
      <c r="L276" s="78"/>
      <c r="M276" s="78"/>
      <c r="N276" s="78"/>
      <c r="O276" s="78"/>
      <c r="P276" s="78"/>
      <c r="Q276" s="78"/>
      <c r="R276" s="78"/>
      <c r="S276" s="78"/>
      <c r="T276" s="78"/>
      <c r="U276" s="79"/>
      <c r="V276" s="78"/>
      <c r="W276" s="78"/>
      <c r="X276" s="78"/>
      <c r="Y276" s="67"/>
      <c r="Z276" s="78"/>
      <c r="AA276" s="78"/>
      <c r="AB276" s="78"/>
      <c r="AC276" s="78"/>
      <c r="AD276" s="78"/>
      <c r="AE276" s="78"/>
      <c r="AF276" s="78"/>
      <c r="AG276" s="78"/>
      <c r="AH276" s="78"/>
      <c r="AI276" s="78"/>
    </row>
    <row r="277" spans="1:35">
      <c r="A277" s="78"/>
      <c r="B277" s="78"/>
      <c r="C277" s="78"/>
      <c r="D277" s="78"/>
      <c r="E277" s="78"/>
      <c r="F277" s="78"/>
      <c r="G277" s="78"/>
      <c r="H277" s="78"/>
      <c r="I277" s="78"/>
      <c r="J277" s="78"/>
      <c r="K277" s="78"/>
      <c r="L277" s="78"/>
      <c r="M277" s="78"/>
      <c r="N277" s="78"/>
      <c r="O277" s="78"/>
      <c r="P277" s="78"/>
      <c r="Q277" s="78"/>
      <c r="R277" s="78"/>
      <c r="S277" s="78"/>
      <c r="T277" s="78"/>
      <c r="U277" s="79"/>
      <c r="V277" s="78"/>
      <c r="W277" s="78"/>
      <c r="X277" s="78"/>
      <c r="Y277" s="67"/>
      <c r="Z277" s="78"/>
      <c r="AA277" s="78"/>
      <c r="AB277" s="78"/>
      <c r="AC277" s="78"/>
      <c r="AD277" s="78"/>
      <c r="AE277" s="78"/>
      <c r="AF277" s="78"/>
      <c r="AG277" s="78"/>
      <c r="AH277" s="78"/>
      <c r="AI277" s="78"/>
    </row>
    <row r="278" spans="1:35">
      <c r="A278" s="78"/>
      <c r="B278" s="78"/>
      <c r="C278" s="78"/>
      <c r="D278" s="78"/>
      <c r="E278" s="78"/>
      <c r="F278" s="78"/>
      <c r="G278" s="78"/>
      <c r="H278" s="78"/>
      <c r="I278" s="78"/>
      <c r="J278" s="78"/>
      <c r="K278" s="78"/>
      <c r="L278" s="78"/>
      <c r="M278" s="78"/>
      <c r="N278" s="78"/>
      <c r="O278" s="78"/>
      <c r="P278" s="78"/>
      <c r="Q278" s="78"/>
      <c r="R278" s="78"/>
      <c r="S278" s="78"/>
      <c r="T278" s="78"/>
      <c r="U278" s="79"/>
      <c r="V278" s="78"/>
      <c r="W278" s="78"/>
      <c r="X278" s="78"/>
      <c r="Y278" s="67"/>
      <c r="Z278" s="78"/>
      <c r="AA278" s="78"/>
      <c r="AB278" s="78"/>
      <c r="AC278" s="78"/>
      <c r="AD278" s="78"/>
      <c r="AE278" s="78"/>
      <c r="AF278" s="78"/>
      <c r="AG278" s="78"/>
      <c r="AH278" s="78"/>
      <c r="AI278" s="78"/>
    </row>
    <row r="279" spans="1:35">
      <c r="Y279" s="68"/>
    </row>
    <row r="280" spans="1:35">
      <c r="Y280" s="68"/>
    </row>
    <row r="281" spans="1:35">
      <c r="Y281" s="68"/>
    </row>
    <row r="282" spans="1:35">
      <c r="Y282" s="68"/>
    </row>
    <row r="283" spans="1:35">
      <c r="Y283" s="68"/>
    </row>
    <row r="284" spans="1:35">
      <c r="Y284" s="68"/>
    </row>
    <row r="285" spans="1:35">
      <c r="Y285" s="68"/>
    </row>
    <row r="286" spans="1:35">
      <c r="Y286" s="68"/>
    </row>
    <row r="287" spans="1:35">
      <c r="Y287" s="68"/>
    </row>
    <row r="288" spans="1:35">
      <c r="Y288" s="68"/>
    </row>
    <row r="289" spans="25:25">
      <c r="Y289" s="68"/>
    </row>
    <row r="290" spans="25:25">
      <c r="Y290" s="68"/>
    </row>
    <row r="291" spans="25:25">
      <c r="Y291" s="68"/>
    </row>
    <row r="292" spans="25:25">
      <c r="Y292" s="68"/>
    </row>
    <row r="293" spans="25:25">
      <c r="Y293" s="68"/>
    </row>
    <row r="294" spans="25:25">
      <c r="Y294" s="68"/>
    </row>
    <row r="295" spans="25:25">
      <c r="Y295" s="68"/>
    </row>
    <row r="296" spans="25:25">
      <c r="Y296" s="68"/>
    </row>
    <row r="297" spans="25:25">
      <c r="Y297" s="68"/>
    </row>
    <row r="298" spans="25:25">
      <c r="Y298" s="68"/>
    </row>
    <row r="299" spans="25:25">
      <c r="Y299" s="68"/>
    </row>
    <row r="300" spans="25:25">
      <c r="Y300" s="68"/>
    </row>
    <row r="301" spans="25:25">
      <c r="Y301" s="68"/>
    </row>
    <row r="302" spans="25:25">
      <c r="Y302" s="68"/>
    </row>
    <row r="303" spans="25:25">
      <c r="Y303" s="68"/>
    </row>
    <row r="304" spans="25:25">
      <c r="Y304" s="68"/>
    </row>
    <row r="305" spans="25:25">
      <c r="Y305" s="68"/>
    </row>
    <row r="306" spans="25:25">
      <c r="Y306" s="68"/>
    </row>
    <row r="307" spans="25:25">
      <c r="Y307" s="68"/>
    </row>
    <row r="308" spans="25:25">
      <c r="Y308" s="68"/>
    </row>
    <row r="309" spans="25:25">
      <c r="Y309" s="68"/>
    </row>
    <row r="310" spans="25:25">
      <c r="Y310" s="68"/>
    </row>
    <row r="311" spans="25:25">
      <c r="Y311" s="68"/>
    </row>
    <row r="312" spans="25:25">
      <c r="Y312" s="68"/>
    </row>
    <row r="313" spans="25:25">
      <c r="Y313" s="68"/>
    </row>
    <row r="314" spans="25:25">
      <c r="Y314" s="68"/>
    </row>
    <row r="315" spans="25:25">
      <c r="Y315" s="68"/>
    </row>
    <row r="316" spans="25:25">
      <c r="Y316" s="68"/>
    </row>
    <row r="317" spans="25:25">
      <c r="Y317" s="68"/>
    </row>
    <row r="318" spans="25:25">
      <c r="Y318" s="68"/>
    </row>
    <row r="319" spans="25:25">
      <c r="Y319" s="68"/>
    </row>
    <row r="320" spans="25:25">
      <c r="Y320" s="68"/>
    </row>
    <row r="321" spans="25:25">
      <c r="Y321" s="68"/>
    </row>
    <row r="322" spans="25:25">
      <c r="Y322" s="68"/>
    </row>
    <row r="323" spans="25:25">
      <c r="Y323" s="68"/>
    </row>
    <row r="324" spans="25:25">
      <c r="Y324" s="68"/>
    </row>
    <row r="325" spans="25:25">
      <c r="Y325" s="68"/>
    </row>
    <row r="326" spans="25:25">
      <c r="Y326" s="68"/>
    </row>
    <row r="327" spans="25:25">
      <c r="Y327" s="68"/>
    </row>
    <row r="328" spans="25:25">
      <c r="Y328" s="68"/>
    </row>
    <row r="329" spans="25:25">
      <c r="Y329" s="68"/>
    </row>
    <row r="330" spans="25:25">
      <c r="Y330" s="68"/>
    </row>
    <row r="331" spans="25:25">
      <c r="Y331" s="68"/>
    </row>
    <row r="332" spans="25:25">
      <c r="Y332" s="68"/>
    </row>
    <row r="333" spans="25:25">
      <c r="Y333" s="68"/>
    </row>
    <row r="334" spans="25:25">
      <c r="Y334" s="68"/>
    </row>
    <row r="335" spans="25:25">
      <c r="Y335" s="68"/>
    </row>
    <row r="336" spans="25:25">
      <c r="Y336" s="68"/>
    </row>
    <row r="337" spans="25:25">
      <c r="Y337" s="68"/>
    </row>
    <row r="338" spans="25:25">
      <c r="Y338" s="68"/>
    </row>
    <row r="339" spans="25:25">
      <c r="Y339" s="68"/>
    </row>
    <row r="340" spans="25:25">
      <c r="Y340" s="68"/>
    </row>
    <row r="341" spans="25:25">
      <c r="Y341" s="68"/>
    </row>
    <row r="342" spans="25:25">
      <c r="Y342" s="68"/>
    </row>
    <row r="343" spans="25:25">
      <c r="Y343" s="68"/>
    </row>
    <row r="344" spans="25:25">
      <c r="Y344" s="68"/>
    </row>
    <row r="345" spans="25:25">
      <c r="Y345" s="68"/>
    </row>
    <row r="346" spans="25:25">
      <c r="Y346" s="68"/>
    </row>
    <row r="347" spans="25:25">
      <c r="Y347" s="68"/>
    </row>
    <row r="348" spans="25:25">
      <c r="Y348" s="68"/>
    </row>
    <row r="349" spans="25:25">
      <c r="Y349" s="68"/>
    </row>
    <row r="350" spans="25:25">
      <c r="Y350" s="68"/>
    </row>
    <row r="351" spans="25:25">
      <c r="Y351" s="68"/>
    </row>
    <row r="352" spans="25:25">
      <c r="Y352" s="68"/>
    </row>
    <row r="353" spans="25:25">
      <c r="Y353" s="68"/>
    </row>
    <row r="354" spans="25:25">
      <c r="Y354" s="68"/>
    </row>
    <row r="355" spans="25:25">
      <c r="Y355" s="68"/>
    </row>
    <row r="356" spans="25:25">
      <c r="Y356" s="68"/>
    </row>
    <row r="357" spans="25:25">
      <c r="Y357" s="68"/>
    </row>
    <row r="358" spans="25:25">
      <c r="Y358" s="68"/>
    </row>
    <row r="359" spans="25:25">
      <c r="Y359" s="68"/>
    </row>
    <row r="360" spans="25:25">
      <c r="Y360" s="68"/>
    </row>
    <row r="361" spans="25:25">
      <c r="Y361" s="68"/>
    </row>
    <row r="362" spans="25:25">
      <c r="Y362" s="68"/>
    </row>
    <row r="363" spans="25:25">
      <c r="Y363" s="68"/>
    </row>
    <row r="364" spans="25:25">
      <c r="Y364" s="68"/>
    </row>
    <row r="365" spans="25:25">
      <c r="Y365" s="68"/>
    </row>
    <row r="366" spans="25:25">
      <c r="Y366" s="68"/>
    </row>
    <row r="367" spans="25:25">
      <c r="Y367" s="68"/>
    </row>
    <row r="368" spans="25:25">
      <c r="Y368" s="68"/>
    </row>
    <row r="369" spans="25:25">
      <c r="Y369" s="68"/>
    </row>
    <row r="370" spans="25:25">
      <c r="Y370" s="68"/>
    </row>
    <row r="371" spans="25:25">
      <c r="Y371" s="68"/>
    </row>
    <row r="372" spans="25:25">
      <c r="Y372" s="68"/>
    </row>
    <row r="373" spans="25:25">
      <c r="Y373" s="68"/>
    </row>
    <row r="374" spans="25:25">
      <c r="Y374" s="68"/>
    </row>
    <row r="375" spans="25:25">
      <c r="Y375" s="68"/>
    </row>
    <row r="376" spans="25:25">
      <c r="Y376" s="68"/>
    </row>
    <row r="377" spans="25:25">
      <c r="Y377" s="68"/>
    </row>
    <row r="378" spans="25:25">
      <c r="Y378" s="68"/>
    </row>
    <row r="379" spans="25:25">
      <c r="Y379" s="68"/>
    </row>
    <row r="380" spans="25:25">
      <c r="Y380" s="68"/>
    </row>
    <row r="381" spans="25:25">
      <c r="Y381" s="68"/>
    </row>
    <row r="382" spans="25:25">
      <c r="Y382" s="68"/>
    </row>
    <row r="383" spans="25:25">
      <c r="Y383" s="68"/>
    </row>
    <row r="384" spans="25:25">
      <c r="Y384" s="68"/>
    </row>
    <row r="385" spans="25:25">
      <c r="Y385" s="68"/>
    </row>
    <row r="386" spans="25:25">
      <c r="Y386" s="68"/>
    </row>
    <row r="387" spans="25:25">
      <c r="Y387" s="68"/>
    </row>
    <row r="388" spans="25:25">
      <c r="Y388" s="68"/>
    </row>
    <row r="389" spans="25:25">
      <c r="Y389" s="68"/>
    </row>
    <row r="390" spans="25:25">
      <c r="Y390" s="68"/>
    </row>
    <row r="391" spans="25:25">
      <c r="Y391" s="68"/>
    </row>
    <row r="392" spans="25:25">
      <c r="Y392" s="68"/>
    </row>
    <row r="393" spans="25:25">
      <c r="Y393" s="68"/>
    </row>
    <row r="394" spans="25:25">
      <c r="Y394" s="68"/>
    </row>
    <row r="395" spans="25:25">
      <c r="Y395" s="68"/>
    </row>
    <row r="396" spans="25:25">
      <c r="Y396" s="68"/>
    </row>
    <row r="397" spans="25:25">
      <c r="Y397" s="68"/>
    </row>
    <row r="398" spans="25:25">
      <c r="Y398" s="68"/>
    </row>
    <row r="399" spans="25:25">
      <c r="Y399" s="68"/>
    </row>
    <row r="400" spans="25:25">
      <c r="Y400" s="68"/>
    </row>
    <row r="401" spans="25:25">
      <c r="Y401" s="68"/>
    </row>
    <row r="402" spans="25:25">
      <c r="Y402" s="68"/>
    </row>
    <row r="403" spans="25:25">
      <c r="Y403" s="68"/>
    </row>
    <row r="404" spans="25:25">
      <c r="Y404" s="68"/>
    </row>
    <row r="405" spans="25:25">
      <c r="Y405" s="68"/>
    </row>
    <row r="406" spans="25:25">
      <c r="Y406" s="68"/>
    </row>
    <row r="407" spans="25:25">
      <c r="Y407" s="68"/>
    </row>
    <row r="408" spans="25:25">
      <c r="Y408" s="68"/>
    </row>
    <row r="409" spans="25:25">
      <c r="Y409" s="68"/>
    </row>
    <row r="410" spans="25:25">
      <c r="Y410" s="68"/>
    </row>
    <row r="411" spans="25:25">
      <c r="Y411" s="68"/>
    </row>
    <row r="412" spans="25:25">
      <c r="Y412" s="68"/>
    </row>
    <row r="413" spans="25:25">
      <c r="Y413" s="68"/>
    </row>
    <row r="414" spans="25:25">
      <c r="Y414" s="68"/>
    </row>
    <row r="415" spans="25:25">
      <c r="Y415" s="68"/>
    </row>
    <row r="416" spans="25:25">
      <c r="Y416" s="68"/>
    </row>
    <row r="417" spans="25:25">
      <c r="Y417" s="68"/>
    </row>
    <row r="418" spans="25:25">
      <c r="Y418" s="68"/>
    </row>
    <row r="419" spans="25:25">
      <c r="Y419" s="68"/>
    </row>
    <row r="420" spans="25:25">
      <c r="Y420" s="68"/>
    </row>
    <row r="421" spans="25:25">
      <c r="Y421" s="68"/>
    </row>
    <row r="422" spans="25:25">
      <c r="Y422" s="68"/>
    </row>
    <row r="423" spans="25:25">
      <c r="Y423" s="68"/>
    </row>
    <row r="424" spans="25:25">
      <c r="Y424" s="68"/>
    </row>
    <row r="425" spans="25:25">
      <c r="Y425" s="68"/>
    </row>
    <row r="426" spans="25:25">
      <c r="Y426" s="68"/>
    </row>
    <row r="427" spans="25:25">
      <c r="Y427" s="68"/>
    </row>
    <row r="428" spans="25:25">
      <c r="Y428" s="68"/>
    </row>
    <row r="429" spans="25:25">
      <c r="Y429" s="68"/>
    </row>
    <row r="430" spans="25:25">
      <c r="Y430" s="68"/>
    </row>
    <row r="431" spans="25:25">
      <c r="Y431" s="68"/>
    </row>
    <row r="432" spans="25:25">
      <c r="Y432" s="68"/>
    </row>
    <row r="433" spans="25:25">
      <c r="Y433" s="68"/>
    </row>
    <row r="434" spans="25:25">
      <c r="Y434" s="68"/>
    </row>
    <row r="435" spans="25:25">
      <c r="Y435" s="68"/>
    </row>
    <row r="436" spans="25:25">
      <c r="Y436" s="68"/>
    </row>
    <row r="437" spans="25:25">
      <c r="Y437" s="68"/>
    </row>
    <row r="438" spans="25:25">
      <c r="Y438" s="68"/>
    </row>
    <row r="439" spans="25:25">
      <c r="Y439" s="68"/>
    </row>
    <row r="440" spans="25:25">
      <c r="Y440" s="68"/>
    </row>
    <row r="441" spans="25:25">
      <c r="Y441" s="68"/>
    </row>
    <row r="442" spans="25:25">
      <c r="Y442" s="68"/>
    </row>
    <row r="443" spans="25:25">
      <c r="Y443" s="68"/>
    </row>
    <row r="444" spans="25:25">
      <c r="Y444" s="68"/>
    </row>
    <row r="445" spans="25:25">
      <c r="Y445" s="68"/>
    </row>
    <row r="446" spans="25:25">
      <c r="Y446" s="68"/>
    </row>
    <row r="447" spans="25:25">
      <c r="Y447" s="68"/>
    </row>
    <row r="448" spans="25:25">
      <c r="Y448" s="68"/>
    </row>
    <row r="449" spans="25:25">
      <c r="Y449" s="68"/>
    </row>
    <row r="450" spans="25:25">
      <c r="Y450" s="68"/>
    </row>
    <row r="451" spans="25:25">
      <c r="Y451" s="68"/>
    </row>
    <row r="452" spans="25:25">
      <c r="Y452" s="68"/>
    </row>
    <row r="453" spans="25:25">
      <c r="Y453" s="68"/>
    </row>
    <row r="454" spans="25:25">
      <c r="Y454" s="68"/>
    </row>
    <row r="455" spans="25:25">
      <c r="Y455" s="68"/>
    </row>
    <row r="456" spans="25:25">
      <c r="Y456" s="68"/>
    </row>
    <row r="457" spans="25:25">
      <c r="Y457" s="68"/>
    </row>
    <row r="458" spans="25:25">
      <c r="Y458" s="68"/>
    </row>
    <row r="459" spans="25:25">
      <c r="Y459" s="68"/>
    </row>
    <row r="460" spans="25:25">
      <c r="Y460" s="68"/>
    </row>
    <row r="461" spans="25:25">
      <c r="Y461" s="68"/>
    </row>
    <row r="462" spans="25:25">
      <c r="Y462" s="68"/>
    </row>
    <row r="463" spans="25:25">
      <c r="Y463" s="68"/>
    </row>
    <row r="464" spans="25:25">
      <c r="Y464" s="68"/>
    </row>
    <row r="465" spans="25:25">
      <c r="Y465" s="68"/>
    </row>
    <row r="466" spans="25:25">
      <c r="Y466" s="68"/>
    </row>
    <row r="467" spans="25:25">
      <c r="Y467" s="68"/>
    </row>
    <row r="468" spans="25:25">
      <c r="Y468" s="68"/>
    </row>
    <row r="469" spans="25:25">
      <c r="Y469" s="68"/>
    </row>
    <row r="470" spans="25:25">
      <c r="Y470" s="68"/>
    </row>
    <row r="471" spans="25:25">
      <c r="Y471" s="68"/>
    </row>
    <row r="472" spans="25:25">
      <c r="Y472" s="68"/>
    </row>
    <row r="473" spans="25:25">
      <c r="Y473" s="68"/>
    </row>
    <row r="474" spans="25:25">
      <c r="Y474" s="68"/>
    </row>
    <row r="475" spans="25:25">
      <c r="Y475" s="68"/>
    </row>
    <row r="476" spans="25:25">
      <c r="Y476" s="68"/>
    </row>
    <row r="477" spans="25:25">
      <c r="Y477" s="68"/>
    </row>
    <row r="478" spans="25:25">
      <c r="Y478" s="68"/>
    </row>
    <row r="479" spans="25:25">
      <c r="Y479" s="68"/>
    </row>
    <row r="480" spans="25:25">
      <c r="Y480" s="68"/>
    </row>
    <row r="481" spans="25:25">
      <c r="Y481" s="68"/>
    </row>
    <row r="482" spans="25:25">
      <c r="Y482" s="68"/>
    </row>
    <row r="483" spans="25:25">
      <c r="Y483" s="68"/>
    </row>
    <row r="484" spans="25:25">
      <c r="Y484" s="68"/>
    </row>
    <row r="485" spans="25:25">
      <c r="Y485" s="68"/>
    </row>
    <row r="486" spans="25:25">
      <c r="Y486" s="68"/>
    </row>
    <row r="487" spans="25:25">
      <c r="Y487" s="68"/>
    </row>
    <row r="488" spans="25:25">
      <c r="Y488" s="68"/>
    </row>
    <row r="489" spans="25:25">
      <c r="Y489" s="68"/>
    </row>
    <row r="490" spans="25:25">
      <c r="Y490" s="68"/>
    </row>
    <row r="491" spans="25:25">
      <c r="Y491" s="68"/>
    </row>
    <row r="492" spans="25:25">
      <c r="Y492" s="68"/>
    </row>
    <row r="493" spans="25:25">
      <c r="Y493" s="68"/>
    </row>
    <row r="494" spans="25:25">
      <c r="Y494" s="68"/>
    </row>
    <row r="495" spans="25:25">
      <c r="Y495" s="68"/>
    </row>
    <row r="496" spans="25:25">
      <c r="Y496" s="68"/>
    </row>
    <row r="497" spans="25:25">
      <c r="Y497" s="68"/>
    </row>
    <row r="498" spans="25:25">
      <c r="Y498" s="68"/>
    </row>
    <row r="499" spans="25:25">
      <c r="Y499" s="68"/>
    </row>
    <row r="500" spans="25:25">
      <c r="Y500" s="68"/>
    </row>
    <row r="501" spans="25:25">
      <c r="Y501" s="68"/>
    </row>
    <row r="502" spans="25:25">
      <c r="Y502" s="68"/>
    </row>
    <row r="503" spans="25:25">
      <c r="Y503" s="68"/>
    </row>
    <row r="504" spans="25:25">
      <c r="Y504" s="68"/>
    </row>
    <row r="505" spans="25:25">
      <c r="Y505" s="68"/>
    </row>
    <row r="506" spans="25:25">
      <c r="Y506" s="68"/>
    </row>
    <row r="507" spans="25:25">
      <c r="Y507" s="68"/>
    </row>
    <row r="508" spans="25:25">
      <c r="Y508" s="68"/>
    </row>
    <row r="509" spans="25:25">
      <c r="Y509" s="68"/>
    </row>
    <row r="510" spans="25:25">
      <c r="Y510" s="68"/>
    </row>
    <row r="511" spans="25:25">
      <c r="Y511" s="68"/>
    </row>
    <row r="512" spans="25:25">
      <c r="Y512" s="68"/>
    </row>
    <row r="513" spans="25:25">
      <c r="Y513" s="68"/>
    </row>
    <row r="514" spans="25:25">
      <c r="Y514" s="68"/>
    </row>
    <row r="515" spans="25:25">
      <c r="Y515" s="68"/>
    </row>
    <row r="516" spans="25:25">
      <c r="Y516" s="68"/>
    </row>
    <row r="517" spans="25:25">
      <c r="Y517" s="68"/>
    </row>
    <row r="518" spans="25:25">
      <c r="Y518" s="68"/>
    </row>
    <row r="519" spans="25:25">
      <c r="Y519" s="68"/>
    </row>
    <row r="520" spans="25:25">
      <c r="Y520" s="68"/>
    </row>
    <row r="521" spans="25:25">
      <c r="Y521" s="68"/>
    </row>
    <row r="522" spans="25:25">
      <c r="Y522" s="68"/>
    </row>
    <row r="523" spans="25:25">
      <c r="Y523" s="68"/>
    </row>
    <row r="524" spans="25:25">
      <c r="Y524" s="68"/>
    </row>
    <row r="525" spans="25:25">
      <c r="Y525" s="68"/>
    </row>
    <row r="526" spans="25:25">
      <c r="Y526" s="68"/>
    </row>
    <row r="527" spans="25:25">
      <c r="Y527" s="68"/>
    </row>
    <row r="528" spans="25:25">
      <c r="Y528" s="68"/>
    </row>
    <row r="529" spans="25:25">
      <c r="Y529" s="68"/>
    </row>
    <row r="530" spans="25:25">
      <c r="Y530" s="68"/>
    </row>
    <row r="531" spans="25:25">
      <c r="Y531" s="68"/>
    </row>
    <row r="532" spans="25:25">
      <c r="Y532" s="68"/>
    </row>
    <row r="533" spans="25:25">
      <c r="Y533" s="68"/>
    </row>
    <row r="534" spans="25:25">
      <c r="Y534" s="68"/>
    </row>
    <row r="535" spans="25:25">
      <c r="Y535" s="68"/>
    </row>
    <row r="536" spans="25:25">
      <c r="Y536" s="68"/>
    </row>
    <row r="537" spans="25:25">
      <c r="Y537" s="68"/>
    </row>
    <row r="538" spans="25:25">
      <c r="Y538" s="68"/>
    </row>
    <row r="539" spans="25:25">
      <c r="Y539" s="68"/>
    </row>
    <row r="540" spans="25:25">
      <c r="Y540" s="68"/>
    </row>
    <row r="541" spans="25:25">
      <c r="Y541" s="68"/>
    </row>
    <row r="542" spans="25:25">
      <c r="Y542" s="68"/>
    </row>
    <row r="543" spans="25:25">
      <c r="Y543" s="68"/>
    </row>
    <row r="544" spans="25:25">
      <c r="Y544" s="68"/>
    </row>
    <row r="545" spans="25:25">
      <c r="Y545" s="68"/>
    </row>
    <row r="546" spans="25:25">
      <c r="Y546" s="68"/>
    </row>
    <row r="547" spans="25:25">
      <c r="Y547" s="68"/>
    </row>
    <row r="548" spans="25:25">
      <c r="Y548" s="68"/>
    </row>
    <row r="549" spans="25:25">
      <c r="Y549" s="68"/>
    </row>
    <row r="550" spans="25:25">
      <c r="Y550" s="68"/>
    </row>
    <row r="551" spans="25:25">
      <c r="Y551" s="68"/>
    </row>
    <row r="552" spans="25:25">
      <c r="Y552" s="68"/>
    </row>
    <row r="553" spans="25:25">
      <c r="Y553" s="68"/>
    </row>
    <row r="554" spans="25:25">
      <c r="Y554" s="68"/>
    </row>
    <row r="555" spans="25:25">
      <c r="Y555" s="68"/>
    </row>
    <row r="556" spans="25:25">
      <c r="Y556" s="68"/>
    </row>
    <row r="557" spans="25:25">
      <c r="Y557" s="68"/>
    </row>
    <row r="558" spans="25:25">
      <c r="Y558" s="68"/>
    </row>
    <row r="559" spans="25:25">
      <c r="Y559" s="68"/>
    </row>
    <row r="560" spans="25:25">
      <c r="Y560" s="68"/>
    </row>
    <row r="561" spans="25:25">
      <c r="Y561" s="68"/>
    </row>
    <row r="562" spans="25:25">
      <c r="Y562" s="68"/>
    </row>
    <row r="563" spans="25:25">
      <c r="Y563" s="68"/>
    </row>
    <row r="564" spans="25:25">
      <c r="Y564" s="68"/>
    </row>
    <row r="565" spans="25:25">
      <c r="Y565" s="68"/>
    </row>
    <row r="566" spans="25:25">
      <c r="Y566" s="68"/>
    </row>
    <row r="567" spans="25:25">
      <c r="Y567" s="68"/>
    </row>
    <row r="568" spans="25:25">
      <c r="Y568" s="68"/>
    </row>
    <row r="569" spans="25:25">
      <c r="Y569" s="68"/>
    </row>
    <row r="570" spans="25:25">
      <c r="Y570" s="68"/>
    </row>
    <row r="571" spans="25:25">
      <c r="Y571" s="68"/>
    </row>
    <row r="572" spans="25:25">
      <c r="Y572" s="68"/>
    </row>
    <row r="573" spans="25:25">
      <c r="Y573" s="68"/>
    </row>
    <row r="574" spans="25:25">
      <c r="Y574" s="68"/>
    </row>
    <row r="575" spans="25:25">
      <c r="Y575" s="68"/>
    </row>
    <row r="576" spans="25:25">
      <c r="Y576" s="68"/>
    </row>
    <row r="577" spans="25:25">
      <c r="Y577" s="68"/>
    </row>
    <row r="578" spans="25:25">
      <c r="Y578" s="68"/>
    </row>
    <row r="579" spans="25:25">
      <c r="Y579" s="68"/>
    </row>
    <row r="580" spans="25:25">
      <c r="Y580" s="68"/>
    </row>
    <row r="581" spans="25:25">
      <c r="Y581" s="68"/>
    </row>
    <row r="582" spans="25:25">
      <c r="Y582" s="68"/>
    </row>
    <row r="583" spans="25:25">
      <c r="Y583" s="68"/>
    </row>
    <row r="584" spans="25:25">
      <c r="Y584" s="68"/>
    </row>
    <row r="585" spans="25:25">
      <c r="Y585" s="68"/>
    </row>
    <row r="586" spans="25:25">
      <c r="Y586" s="68"/>
    </row>
    <row r="587" spans="25:25">
      <c r="Y587" s="68"/>
    </row>
    <row r="588" spans="25:25">
      <c r="Y588" s="68"/>
    </row>
    <row r="589" spans="25:25">
      <c r="Y589" s="68"/>
    </row>
    <row r="590" spans="25:25">
      <c r="Y590" s="68"/>
    </row>
    <row r="591" spans="25:25">
      <c r="Y591" s="68"/>
    </row>
    <row r="592" spans="25:25">
      <c r="Y592" s="68"/>
    </row>
    <row r="593" spans="25:25">
      <c r="Y593" s="68"/>
    </row>
    <row r="594" spans="25:25">
      <c r="Y594" s="68"/>
    </row>
    <row r="595" spans="25:25">
      <c r="Y595" s="68"/>
    </row>
    <row r="596" spans="25:25">
      <c r="Y596" s="68"/>
    </row>
    <row r="597" spans="25:25">
      <c r="Y597" s="68"/>
    </row>
    <row r="598" spans="25:25">
      <c r="Y598" s="68"/>
    </row>
    <row r="599" spans="25:25">
      <c r="Y599" s="68"/>
    </row>
    <row r="600" spans="25:25">
      <c r="Y600" s="68"/>
    </row>
    <row r="601" spans="25:25">
      <c r="Y601" s="68"/>
    </row>
    <row r="602" spans="25:25">
      <c r="Y602" s="68"/>
    </row>
    <row r="603" spans="25:25">
      <c r="Y603" s="68"/>
    </row>
    <row r="604" spans="25:25">
      <c r="Y604" s="68"/>
    </row>
    <row r="605" spans="25:25">
      <c r="Y605" s="68"/>
    </row>
    <row r="606" spans="25:25">
      <c r="Y606" s="68"/>
    </row>
    <row r="607" spans="25:25">
      <c r="Y607" s="68"/>
    </row>
    <row r="608" spans="25:25">
      <c r="Y608" s="68"/>
    </row>
    <row r="609" spans="25:25">
      <c r="Y609" s="68"/>
    </row>
    <row r="610" spans="25:25">
      <c r="Y610" s="68"/>
    </row>
    <row r="611" spans="25:25">
      <c r="Y611" s="68"/>
    </row>
    <row r="612" spans="25:25">
      <c r="Y612" s="68"/>
    </row>
    <row r="613" spans="25:25">
      <c r="Y613" s="68"/>
    </row>
    <row r="614" spans="25:25">
      <c r="Y614" s="68"/>
    </row>
    <row r="615" spans="25:25">
      <c r="Y615" s="68"/>
    </row>
    <row r="616" spans="25:25">
      <c r="Y616" s="68"/>
    </row>
    <row r="617" spans="25:25">
      <c r="Y617" s="68"/>
    </row>
    <row r="618" spans="25:25">
      <c r="Y618" s="68"/>
    </row>
    <row r="619" spans="25:25">
      <c r="Y619" s="68"/>
    </row>
    <row r="620" spans="25:25">
      <c r="Y620" s="68"/>
    </row>
    <row r="621" spans="25:25">
      <c r="Y621" s="68"/>
    </row>
    <row r="622" spans="25:25">
      <c r="Y622" s="68"/>
    </row>
    <row r="623" spans="25:25">
      <c r="Y623" s="68"/>
    </row>
    <row r="624" spans="25:25">
      <c r="Y624" s="68"/>
    </row>
    <row r="625" spans="25:25">
      <c r="Y625" s="68"/>
    </row>
    <row r="626" spans="25:25">
      <c r="Y626" s="68"/>
    </row>
    <row r="627" spans="25:25">
      <c r="Y627" s="68"/>
    </row>
    <row r="628" spans="25:25">
      <c r="Y628" s="68"/>
    </row>
    <row r="629" spans="25:25">
      <c r="Y629" s="68"/>
    </row>
    <row r="630" spans="25:25">
      <c r="Y630" s="68"/>
    </row>
    <row r="631" spans="25:25">
      <c r="Y631" s="68"/>
    </row>
    <row r="632" spans="25:25">
      <c r="Y632" s="68"/>
    </row>
    <row r="633" spans="25:25">
      <c r="Y633" s="68"/>
    </row>
    <row r="634" spans="25:25">
      <c r="Y634" s="68"/>
    </row>
    <row r="635" spans="25:25">
      <c r="Y635" s="68"/>
    </row>
    <row r="636" spans="25:25">
      <c r="Y636" s="68"/>
    </row>
    <row r="637" spans="25:25">
      <c r="Y637" s="68"/>
    </row>
    <row r="638" spans="25:25">
      <c r="Y638" s="68"/>
    </row>
    <row r="639" spans="25:25">
      <c r="Y639" s="68"/>
    </row>
    <row r="640" spans="25:25">
      <c r="Y640" s="68"/>
    </row>
    <row r="641" spans="25:25">
      <c r="Y641" s="68"/>
    </row>
    <row r="642" spans="25:25">
      <c r="Y642" s="68"/>
    </row>
    <row r="643" spans="25:25">
      <c r="Y643" s="68"/>
    </row>
    <row r="644" spans="25:25">
      <c r="Y644" s="68"/>
    </row>
    <row r="645" spans="25:25">
      <c r="Y645" s="68"/>
    </row>
    <row r="646" spans="25:25">
      <c r="Y646" s="68"/>
    </row>
    <row r="647" spans="25:25">
      <c r="Y647" s="68"/>
    </row>
    <row r="648" spans="25:25">
      <c r="Y648" s="68"/>
    </row>
    <row r="649" spans="25:25">
      <c r="Y649" s="68"/>
    </row>
    <row r="650" spans="25:25">
      <c r="Y650" s="68"/>
    </row>
    <row r="651" spans="25:25">
      <c r="Y651" s="68"/>
    </row>
    <row r="652" spans="25:25">
      <c r="Y652" s="68"/>
    </row>
    <row r="653" spans="25:25">
      <c r="Y653" s="68"/>
    </row>
    <row r="654" spans="25:25">
      <c r="Y654" s="68"/>
    </row>
    <row r="655" spans="25:25">
      <c r="Y655" s="68"/>
    </row>
    <row r="656" spans="25:25">
      <c r="Y656" s="68"/>
    </row>
    <row r="657" spans="25:25">
      <c r="Y657" s="68"/>
    </row>
    <row r="658" spans="25:25">
      <c r="Y658" s="68"/>
    </row>
    <row r="659" spans="25:25">
      <c r="Y659" s="68"/>
    </row>
    <row r="660" spans="25:25">
      <c r="Y660" s="68"/>
    </row>
    <row r="661" spans="25:25">
      <c r="Y661" s="68"/>
    </row>
    <row r="662" spans="25:25">
      <c r="Y662" s="68"/>
    </row>
    <row r="663" spans="25:25">
      <c r="Y663" s="68"/>
    </row>
    <row r="664" spans="25:25">
      <c r="Y664" s="68"/>
    </row>
    <row r="665" spans="25:25">
      <c r="Y665" s="68"/>
    </row>
    <row r="666" spans="25:25">
      <c r="Y666" s="68"/>
    </row>
    <row r="667" spans="25:25">
      <c r="Y667" s="68"/>
    </row>
    <row r="668" spans="25:25">
      <c r="Y668" s="68"/>
    </row>
    <row r="669" spans="25:25">
      <c r="Y669" s="68"/>
    </row>
    <row r="670" spans="25:25">
      <c r="Y670" s="68"/>
    </row>
    <row r="671" spans="25:25">
      <c r="Y671" s="68"/>
    </row>
    <row r="672" spans="25:25">
      <c r="Y672" s="68"/>
    </row>
    <row r="673" spans="25:25">
      <c r="Y673" s="68"/>
    </row>
    <row r="674" spans="25:25">
      <c r="Y674" s="68"/>
    </row>
    <row r="675" spans="25:25">
      <c r="Y675" s="68"/>
    </row>
    <row r="676" spans="25:25">
      <c r="Y676" s="68"/>
    </row>
    <row r="677" spans="25:25">
      <c r="Y677" s="68"/>
    </row>
    <row r="678" spans="25:25">
      <c r="Y678" s="68"/>
    </row>
    <row r="679" spans="25:25">
      <c r="Y679" s="68"/>
    </row>
    <row r="680" spans="25:25">
      <c r="Y680" s="68"/>
    </row>
    <row r="681" spans="25:25">
      <c r="Y681" s="68"/>
    </row>
    <row r="682" spans="25:25">
      <c r="Y682" s="68"/>
    </row>
    <row r="683" spans="25:25">
      <c r="Y683" s="68"/>
    </row>
    <row r="684" spans="25:25">
      <c r="Y684" s="68"/>
    </row>
    <row r="685" spans="25:25">
      <c r="Y685" s="68"/>
    </row>
    <row r="686" spans="25:25">
      <c r="Y686" s="68"/>
    </row>
    <row r="687" spans="25:25">
      <c r="Y687" s="68"/>
    </row>
    <row r="688" spans="25:25">
      <c r="Y688" s="68"/>
    </row>
    <row r="689" spans="25:25">
      <c r="Y689" s="68"/>
    </row>
    <row r="690" spans="25:25">
      <c r="Y690" s="68"/>
    </row>
    <row r="691" spans="25:25">
      <c r="Y691" s="68"/>
    </row>
    <row r="692" spans="25:25">
      <c r="Y692" s="68"/>
    </row>
    <row r="693" spans="25:25">
      <c r="Y693" s="68"/>
    </row>
    <row r="694" spans="25:25">
      <c r="Y694" s="68"/>
    </row>
    <row r="695" spans="25:25">
      <c r="Y695" s="68"/>
    </row>
    <row r="696" spans="25:25">
      <c r="Y696" s="68"/>
    </row>
    <row r="697" spans="25:25">
      <c r="Y697" s="68"/>
    </row>
    <row r="698" spans="25:25">
      <c r="Y698" s="68"/>
    </row>
    <row r="699" spans="25:25">
      <c r="Y699" s="68"/>
    </row>
    <row r="700" spans="25:25">
      <c r="Y700" s="68"/>
    </row>
    <row r="701" spans="25:25">
      <c r="Y701" s="68"/>
    </row>
    <row r="702" spans="25:25">
      <c r="Y702" s="68"/>
    </row>
    <row r="703" spans="25:25">
      <c r="Y703" s="68"/>
    </row>
    <row r="704" spans="25:25">
      <c r="Y704" s="68"/>
    </row>
    <row r="705" spans="25:25">
      <c r="Y705" s="68"/>
    </row>
    <row r="706" spans="25:25">
      <c r="Y706" s="68"/>
    </row>
    <row r="707" spans="25:25">
      <c r="Y707" s="68"/>
    </row>
    <row r="708" spans="25:25">
      <c r="Y708" s="68"/>
    </row>
    <row r="709" spans="25:25">
      <c r="Y709" s="68"/>
    </row>
    <row r="710" spans="25:25">
      <c r="Y710" s="68"/>
    </row>
    <row r="711" spans="25:25">
      <c r="Y711" s="68"/>
    </row>
    <row r="712" spans="25:25">
      <c r="Y712" s="68"/>
    </row>
    <row r="713" spans="25:25">
      <c r="Y713" s="68"/>
    </row>
    <row r="714" spans="25:25">
      <c r="Y714" s="68"/>
    </row>
    <row r="715" spans="25:25">
      <c r="Y715" s="68"/>
    </row>
    <row r="716" spans="25:25">
      <c r="Y716" s="68"/>
    </row>
    <row r="717" spans="25:25">
      <c r="Y717" s="68"/>
    </row>
    <row r="718" spans="25:25">
      <c r="Y718" s="68"/>
    </row>
    <row r="719" spans="25:25">
      <c r="Y719" s="68"/>
    </row>
    <row r="720" spans="25:25">
      <c r="Y720" s="68"/>
    </row>
    <row r="721" spans="25:25">
      <c r="Y721" s="68"/>
    </row>
    <row r="722" spans="25:25">
      <c r="Y722" s="68"/>
    </row>
    <row r="723" spans="25:25">
      <c r="Y723" s="68"/>
    </row>
    <row r="724" spans="25:25">
      <c r="Y724" s="68"/>
    </row>
    <row r="725" spans="25:25">
      <c r="Y725" s="68"/>
    </row>
    <row r="726" spans="25:25">
      <c r="Y726" s="68"/>
    </row>
    <row r="727" spans="25:25">
      <c r="Y727" s="68"/>
    </row>
    <row r="728" spans="25:25">
      <c r="Y728" s="68"/>
    </row>
    <row r="729" spans="25:25">
      <c r="Y729" s="68"/>
    </row>
    <row r="730" spans="25:25">
      <c r="Y730" s="68"/>
    </row>
    <row r="731" spans="25:25">
      <c r="Y731" s="68"/>
    </row>
    <row r="732" spans="25:25">
      <c r="Y732" s="68"/>
    </row>
    <row r="733" spans="25:25">
      <c r="Y733" s="68"/>
    </row>
    <row r="734" spans="25:25">
      <c r="Y734" s="68"/>
    </row>
    <row r="735" spans="25:25">
      <c r="Y735" s="68"/>
    </row>
    <row r="736" spans="25:25">
      <c r="Y736" s="68"/>
    </row>
    <row r="737" spans="25:25">
      <c r="Y737" s="68"/>
    </row>
    <row r="738" spans="25:25">
      <c r="Y738" s="68"/>
    </row>
    <row r="739" spans="25:25">
      <c r="Y739" s="68"/>
    </row>
    <row r="740" spans="25:25">
      <c r="Y740" s="68"/>
    </row>
    <row r="741" spans="25:25">
      <c r="Y741" s="68"/>
    </row>
    <row r="742" spans="25:25">
      <c r="Y742" s="68"/>
    </row>
    <row r="743" spans="25:25">
      <c r="Y743" s="68"/>
    </row>
    <row r="744" spans="25:25">
      <c r="Y744" s="68"/>
    </row>
    <row r="745" spans="25:25">
      <c r="Y745" s="68"/>
    </row>
    <row r="746" spans="25:25">
      <c r="Y746" s="68"/>
    </row>
    <row r="747" spans="25:25">
      <c r="Y747" s="68"/>
    </row>
    <row r="748" spans="25:25">
      <c r="Y748" s="68"/>
    </row>
    <row r="749" spans="25:25">
      <c r="Y749" s="68"/>
    </row>
    <row r="750" spans="25:25">
      <c r="Y750" s="68"/>
    </row>
    <row r="751" spans="25:25">
      <c r="Y751" s="68"/>
    </row>
    <row r="752" spans="25:25">
      <c r="Y752" s="68"/>
    </row>
    <row r="753" spans="25:25">
      <c r="Y753" s="68"/>
    </row>
    <row r="754" spans="25:25">
      <c r="Y754" s="68"/>
    </row>
    <row r="755" spans="25:25">
      <c r="Y755" s="68"/>
    </row>
    <row r="756" spans="25:25">
      <c r="Y756" s="68"/>
    </row>
    <row r="757" spans="25:25">
      <c r="Y757" s="68"/>
    </row>
    <row r="758" spans="25:25">
      <c r="Y758" s="68"/>
    </row>
    <row r="759" spans="25:25">
      <c r="Y759" s="68"/>
    </row>
    <row r="760" spans="25:25">
      <c r="Y760" s="68"/>
    </row>
    <row r="761" spans="25:25">
      <c r="Y761" s="68"/>
    </row>
    <row r="762" spans="25:25">
      <c r="Y762" s="68"/>
    </row>
    <row r="763" spans="25:25">
      <c r="Y763" s="68"/>
    </row>
    <row r="764" spans="25:25">
      <c r="Y764" s="68"/>
    </row>
    <row r="765" spans="25:25">
      <c r="Y765" s="68"/>
    </row>
    <row r="766" spans="25:25">
      <c r="Y766" s="68"/>
    </row>
    <row r="767" spans="25:25">
      <c r="Y767" s="68"/>
    </row>
    <row r="768" spans="25:25">
      <c r="Y768" s="68"/>
    </row>
    <row r="769" spans="25:25">
      <c r="Y769" s="68"/>
    </row>
    <row r="770" spans="25:25">
      <c r="Y770" s="68"/>
    </row>
    <row r="771" spans="25:25">
      <c r="Y771" s="68"/>
    </row>
    <row r="772" spans="25:25">
      <c r="Y772" s="68"/>
    </row>
    <row r="773" spans="25:25">
      <c r="Y773" s="68"/>
    </row>
    <row r="774" spans="25:25">
      <c r="Y774" s="68"/>
    </row>
    <row r="775" spans="25:25">
      <c r="Y775" s="68"/>
    </row>
    <row r="776" spans="25:25">
      <c r="Y776" s="68"/>
    </row>
    <row r="777" spans="25:25">
      <c r="Y777" s="68"/>
    </row>
    <row r="778" spans="25:25">
      <c r="Y778" s="68"/>
    </row>
    <row r="779" spans="25:25">
      <c r="Y779" s="68"/>
    </row>
    <row r="780" spans="25:25">
      <c r="Y780" s="68"/>
    </row>
    <row r="781" spans="25:25">
      <c r="Y781" s="68"/>
    </row>
    <row r="782" spans="25:25">
      <c r="Y782" s="68"/>
    </row>
    <row r="783" spans="25:25">
      <c r="Y783" s="68"/>
    </row>
    <row r="784" spans="25:25">
      <c r="Y784" s="68"/>
    </row>
    <row r="785" spans="25:25">
      <c r="Y785" s="68"/>
    </row>
    <row r="786" spans="25:25">
      <c r="Y786" s="68"/>
    </row>
    <row r="787" spans="25:25">
      <c r="Y787" s="68"/>
    </row>
    <row r="788" spans="25:25">
      <c r="Y788" s="68"/>
    </row>
    <row r="789" spans="25:25">
      <c r="Y789" s="68"/>
    </row>
    <row r="790" spans="25:25">
      <c r="Y790" s="68"/>
    </row>
    <row r="791" spans="25:25">
      <c r="Y791" s="68"/>
    </row>
    <row r="792" spans="25:25">
      <c r="Y792" s="68"/>
    </row>
    <row r="793" spans="25:25">
      <c r="Y793" s="68"/>
    </row>
    <row r="794" spans="25:25">
      <c r="Y794" s="68"/>
    </row>
    <row r="795" spans="25:25">
      <c r="Y795" s="68"/>
    </row>
    <row r="796" spans="25:25">
      <c r="Y796" s="68"/>
    </row>
    <row r="797" spans="25:25">
      <c r="Y797" s="68"/>
    </row>
    <row r="798" spans="25:25">
      <c r="Y798" s="68"/>
    </row>
    <row r="799" spans="25:25">
      <c r="Y799" s="68"/>
    </row>
    <row r="800" spans="25:25">
      <c r="Y800" s="68"/>
    </row>
    <row r="801" spans="25:25">
      <c r="Y801" s="68"/>
    </row>
    <row r="802" spans="25:25">
      <c r="Y802" s="68"/>
    </row>
    <row r="803" spans="25:25">
      <c r="Y803" s="68"/>
    </row>
    <row r="804" spans="25:25">
      <c r="Y804" s="68"/>
    </row>
    <row r="805" spans="25:25">
      <c r="Y805" s="68"/>
    </row>
    <row r="806" spans="25:25">
      <c r="Y806" s="68"/>
    </row>
    <row r="807" spans="25:25">
      <c r="Y807" s="68"/>
    </row>
    <row r="808" spans="25:25">
      <c r="Y808" s="68"/>
    </row>
    <row r="809" spans="25:25">
      <c r="Y809" s="68"/>
    </row>
    <row r="810" spans="25:25">
      <c r="Y810" s="68"/>
    </row>
    <row r="811" spans="25:25">
      <c r="Y811" s="68"/>
    </row>
    <row r="812" spans="25:25">
      <c r="Y812" s="68"/>
    </row>
    <row r="813" spans="25:25">
      <c r="Y813" s="68"/>
    </row>
    <row r="814" spans="25:25">
      <c r="Y814" s="68"/>
    </row>
    <row r="815" spans="25:25">
      <c r="Y815" s="68"/>
    </row>
    <row r="816" spans="25:25">
      <c r="Y816" s="68"/>
    </row>
    <row r="817" spans="25:25">
      <c r="Y817" s="68"/>
    </row>
    <row r="818" spans="25:25">
      <c r="Y818" s="68"/>
    </row>
    <row r="819" spans="25:25">
      <c r="Y819" s="68"/>
    </row>
    <row r="820" spans="25:25">
      <c r="Y820" s="68"/>
    </row>
    <row r="821" spans="25:25">
      <c r="Y821" s="68"/>
    </row>
    <row r="822" spans="25:25">
      <c r="Y822" s="68"/>
    </row>
    <row r="823" spans="25:25">
      <c r="Y823" s="68"/>
    </row>
    <row r="824" spans="25:25">
      <c r="Y824" s="68"/>
    </row>
    <row r="825" spans="25:25">
      <c r="Y825" s="68"/>
    </row>
    <row r="826" spans="25:25">
      <c r="Y826" s="68"/>
    </row>
    <row r="827" spans="25:25">
      <c r="Y827" s="68"/>
    </row>
    <row r="828" spans="25:25">
      <c r="Y828" s="68"/>
    </row>
    <row r="829" spans="25:25">
      <c r="Y829" s="68"/>
    </row>
    <row r="830" spans="25:25">
      <c r="Y830" s="68"/>
    </row>
    <row r="831" spans="25:25">
      <c r="Y831" s="68"/>
    </row>
    <row r="832" spans="25:25">
      <c r="Y832" s="68"/>
    </row>
    <row r="833" spans="25:25">
      <c r="Y833" s="68"/>
    </row>
    <row r="834" spans="25:25">
      <c r="Y834" s="68"/>
    </row>
    <row r="835" spans="25:25">
      <c r="Y835" s="68"/>
    </row>
    <row r="836" spans="25:25">
      <c r="Y836" s="68"/>
    </row>
    <row r="837" spans="25:25">
      <c r="Y837" s="68"/>
    </row>
    <row r="838" spans="25:25">
      <c r="Y838" s="68"/>
    </row>
    <row r="839" spans="25:25">
      <c r="Y839" s="68"/>
    </row>
    <row r="840" spans="25:25">
      <c r="Y840" s="68"/>
    </row>
    <row r="841" spans="25:25">
      <c r="Y841" s="68"/>
    </row>
    <row r="842" spans="25:25">
      <c r="Y842" s="68"/>
    </row>
    <row r="843" spans="25:25">
      <c r="Y843" s="68"/>
    </row>
    <row r="844" spans="25:25">
      <c r="Y844" s="68"/>
    </row>
    <row r="845" spans="25:25">
      <c r="Y845" s="68"/>
    </row>
    <row r="846" spans="25:25">
      <c r="Y846" s="68"/>
    </row>
    <row r="847" spans="25:25">
      <c r="Y847" s="68"/>
    </row>
    <row r="848" spans="25:25">
      <c r="Y848" s="68"/>
    </row>
    <row r="849" spans="25:25">
      <c r="Y849" s="68"/>
    </row>
    <row r="850" spans="25:25">
      <c r="Y850" s="68"/>
    </row>
    <row r="851" spans="25:25">
      <c r="Y851" s="68"/>
    </row>
    <row r="852" spans="25:25">
      <c r="Y852" s="68"/>
    </row>
    <row r="853" spans="25:25">
      <c r="Y853" s="68"/>
    </row>
    <row r="854" spans="25:25">
      <c r="Y854" s="68"/>
    </row>
    <row r="855" spans="25:25">
      <c r="Y855" s="68"/>
    </row>
    <row r="856" spans="25:25">
      <c r="Y856" s="68"/>
    </row>
    <row r="857" spans="25:25">
      <c r="Y857" s="68"/>
    </row>
    <row r="858" spans="25:25">
      <c r="Y858" s="68"/>
    </row>
    <row r="859" spans="25:25">
      <c r="Y859" s="68"/>
    </row>
    <row r="860" spans="25:25">
      <c r="Y860" s="68"/>
    </row>
    <row r="861" spans="25:25">
      <c r="Y861" s="68"/>
    </row>
    <row r="862" spans="25:25">
      <c r="Y862" s="68"/>
    </row>
    <row r="863" spans="25:25">
      <c r="Y863" s="68"/>
    </row>
    <row r="864" spans="25:25">
      <c r="Y864" s="68"/>
    </row>
    <row r="865" spans="25:25">
      <c r="Y865" s="68"/>
    </row>
    <row r="866" spans="25:25">
      <c r="Y866" s="68"/>
    </row>
    <row r="867" spans="25:25">
      <c r="Y867" s="68"/>
    </row>
    <row r="868" spans="25:25">
      <c r="Y868" s="68"/>
    </row>
    <row r="869" spans="25:25">
      <c r="Y869" s="68"/>
    </row>
    <row r="870" spans="25:25">
      <c r="Y870" s="68"/>
    </row>
    <row r="871" spans="25:25">
      <c r="Y871" s="68"/>
    </row>
    <row r="872" spans="25:25">
      <c r="Y872" s="68"/>
    </row>
    <row r="873" spans="25:25">
      <c r="Y873" s="68"/>
    </row>
    <row r="874" spans="25:25">
      <c r="Y874" s="68"/>
    </row>
    <row r="875" spans="25:25">
      <c r="Y875" s="68"/>
    </row>
    <row r="876" spans="25:25">
      <c r="Y876" s="68"/>
    </row>
    <row r="877" spans="25:25">
      <c r="Y877" s="68"/>
    </row>
    <row r="878" spans="25:25">
      <c r="Y878" s="68"/>
    </row>
    <row r="879" spans="25:25">
      <c r="Y879" s="68"/>
    </row>
    <row r="880" spans="25:25">
      <c r="Y880" s="68"/>
    </row>
    <row r="881" spans="25:25">
      <c r="Y881" s="68"/>
    </row>
    <row r="882" spans="25:25">
      <c r="Y882" s="68"/>
    </row>
    <row r="883" spans="25:25">
      <c r="Y883" s="68"/>
    </row>
    <row r="884" spans="25:25">
      <c r="Y884" s="68"/>
    </row>
    <row r="885" spans="25:25">
      <c r="Y885" s="68"/>
    </row>
    <row r="886" spans="25:25">
      <c r="Y886" s="68"/>
    </row>
    <row r="887" spans="25:25">
      <c r="Y887" s="68"/>
    </row>
    <row r="888" spans="25:25">
      <c r="Y888" s="68"/>
    </row>
    <row r="889" spans="25:25">
      <c r="Y889" s="68"/>
    </row>
    <row r="890" spans="25:25">
      <c r="Y890" s="68"/>
    </row>
    <row r="891" spans="25:25">
      <c r="Y891" s="68"/>
    </row>
    <row r="892" spans="25:25">
      <c r="Y892" s="68"/>
    </row>
    <row r="893" spans="25:25">
      <c r="Y893" s="68"/>
    </row>
    <row r="894" spans="25:25">
      <c r="Y894" s="68"/>
    </row>
    <row r="895" spans="25:25">
      <c r="Y895" s="68"/>
    </row>
    <row r="896" spans="25:25">
      <c r="Y896" s="68"/>
    </row>
    <row r="897" spans="25:25">
      <c r="Y897" s="68"/>
    </row>
    <row r="898" spans="25:25">
      <c r="Y898" s="68"/>
    </row>
    <row r="899" spans="25:25">
      <c r="Y899" s="68"/>
    </row>
    <row r="900" spans="25:25">
      <c r="Y900" s="68"/>
    </row>
    <row r="901" spans="25:25">
      <c r="Y901" s="68"/>
    </row>
    <row r="902" spans="25:25">
      <c r="Y902" s="68"/>
    </row>
    <row r="903" spans="25:25">
      <c r="Y903" s="68"/>
    </row>
    <row r="904" spans="25:25">
      <c r="Y904" s="68"/>
    </row>
    <row r="905" spans="25:25">
      <c r="Y905" s="68"/>
    </row>
    <row r="906" spans="25:25">
      <c r="Y906" s="68"/>
    </row>
    <row r="907" spans="25:25">
      <c r="Y907" s="68"/>
    </row>
    <row r="908" spans="25:25">
      <c r="Y908" s="68"/>
    </row>
    <row r="909" spans="25:25">
      <c r="Y909" s="68"/>
    </row>
    <row r="910" spans="25:25">
      <c r="Y910" s="68"/>
    </row>
    <row r="911" spans="25:25">
      <c r="Y911" s="68"/>
    </row>
    <row r="912" spans="25:25">
      <c r="Y912" s="68"/>
    </row>
    <row r="913" spans="25:25">
      <c r="Y913" s="68"/>
    </row>
    <row r="914" spans="25:25">
      <c r="Y914" s="68"/>
    </row>
    <row r="915" spans="25:25">
      <c r="Y915" s="68"/>
    </row>
    <row r="916" spans="25:25">
      <c r="Y916" s="68"/>
    </row>
    <row r="917" spans="25:25">
      <c r="Y917" s="68"/>
    </row>
    <row r="918" spans="25:25">
      <c r="Y918" s="68"/>
    </row>
    <row r="919" spans="25:25">
      <c r="Y919" s="68"/>
    </row>
    <row r="920" spans="25:25">
      <c r="Y920" s="68"/>
    </row>
    <row r="921" spans="25:25">
      <c r="Y921" s="68"/>
    </row>
    <row r="922" spans="25:25">
      <c r="Y922" s="68"/>
    </row>
    <row r="923" spans="25:25">
      <c r="Y923" s="68"/>
    </row>
    <row r="924" spans="25:25">
      <c r="Y924" s="68"/>
    </row>
    <row r="925" spans="25:25">
      <c r="Y925" s="68"/>
    </row>
    <row r="926" spans="25:25">
      <c r="Y926" s="68"/>
    </row>
    <row r="927" spans="25:25">
      <c r="Y927" s="68"/>
    </row>
    <row r="928" spans="25:25">
      <c r="Y928" s="68"/>
    </row>
    <row r="929" spans="25:25">
      <c r="Y929" s="68"/>
    </row>
    <row r="930" spans="25:25">
      <c r="Y930" s="68"/>
    </row>
    <row r="931" spans="25:25">
      <c r="Y931" s="68"/>
    </row>
    <row r="932" spans="25:25">
      <c r="Y932" s="68"/>
    </row>
    <row r="933" spans="25:25">
      <c r="Y933" s="68"/>
    </row>
    <row r="934" spans="25:25">
      <c r="Y934" s="68"/>
    </row>
    <row r="935" spans="25:25">
      <c r="Y935" s="68"/>
    </row>
    <row r="936" spans="25:25">
      <c r="Y936" s="68"/>
    </row>
    <row r="937" spans="25:25">
      <c r="Y937" s="68"/>
    </row>
    <row r="938" spans="25:25">
      <c r="Y938" s="68"/>
    </row>
    <row r="939" spans="25:25">
      <c r="Y939" s="68"/>
    </row>
    <row r="940" spans="25:25">
      <c r="Y940" s="68"/>
    </row>
    <row r="941" spans="25:25">
      <c r="Y941" s="68"/>
    </row>
    <row r="942" spans="25:25">
      <c r="Y942" s="68"/>
    </row>
    <row r="943" spans="25:25">
      <c r="Y943" s="68"/>
    </row>
    <row r="944" spans="25:25">
      <c r="Y944" s="68"/>
    </row>
    <row r="945" spans="25:25">
      <c r="Y945" s="68"/>
    </row>
    <row r="946" spans="25:25">
      <c r="Y946" s="68"/>
    </row>
    <row r="947" spans="25:25">
      <c r="Y947" s="68"/>
    </row>
    <row r="948" spans="25:25">
      <c r="Y948" s="68"/>
    </row>
    <row r="949" spans="25:25">
      <c r="Y949" s="68"/>
    </row>
    <row r="950" spans="25:25">
      <c r="Y950" s="68"/>
    </row>
    <row r="951" spans="25:25">
      <c r="Y951" s="68"/>
    </row>
    <row r="952" spans="25:25">
      <c r="Y952" s="68"/>
    </row>
    <row r="953" spans="25:25">
      <c r="Y953" s="68"/>
    </row>
    <row r="954" spans="25:25">
      <c r="Y954" s="68"/>
    </row>
    <row r="955" spans="25:25">
      <c r="Y955" s="68"/>
    </row>
    <row r="956" spans="25:25">
      <c r="Y956" s="68"/>
    </row>
    <row r="957" spans="25:25">
      <c r="Y957" s="68"/>
    </row>
    <row r="958" spans="25:25">
      <c r="Y958" s="68"/>
    </row>
    <row r="959" spans="25:25">
      <c r="Y959" s="68"/>
    </row>
    <row r="960" spans="25:25">
      <c r="Y960" s="68"/>
    </row>
    <row r="961" spans="25:25">
      <c r="Y961" s="68"/>
    </row>
    <row r="962" spans="25:25">
      <c r="Y962" s="68"/>
    </row>
    <row r="963" spans="25:25">
      <c r="Y963" s="68"/>
    </row>
    <row r="964" spans="25:25">
      <c r="Y964" s="68"/>
    </row>
    <row r="965" spans="25:25">
      <c r="Y965" s="68"/>
    </row>
    <row r="966" spans="25:25">
      <c r="Y966" s="68"/>
    </row>
    <row r="967" spans="25:25">
      <c r="Y967" s="68"/>
    </row>
    <row r="968" spans="25:25">
      <c r="Y968" s="68"/>
    </row>
    <row r="969" spans="25:25">
      <c r="Y969" s="68"/>
    </row>
    <row r="970" spans="25:25">
      <c r="Y970" s="68"/>
    </row>
    <row r="971" spans="25:25">
      <c r="Y971" s="68"/>
    </row>
    <row r="972" spans="25:25">
      <c r="Y972" s="68"/>
    </row>
    <row r="973" spans="25:25">
      <c r="Y973" s="68"/>
    </row>
    <row r="974" spans="25:25">
      <c r="Y974" s="68"/>
    </row>
    <row r="975" spans="25:25">
      <c r="Y975" s="68"/>
    </row>
    <row r="976" spans="25:25">
      <c r="Y976" s="68"/>
    </row>
    <row r="977" spans="25:25">
      <c r="Y977" s="68"/>
    </row>
    <row r="978" spans="25:25">
      <c r="Y978" s="68"/>
    </row>
    <row r="979" spans="25:25">
      <c r="Y979" s="68"/>
    </row>
    <row r="980" spans="25:25">
      <c r="Y980" s="68"/>
    </row>
    <row r="981" spans="25:25">
      <c r="Y981" s="68"/>
    </row>
    <row r="982" spans="25:25">
      <c r="Y982" s="68"/>
    </row>
    <row r="983" spans="25:25">
      <c r="Y983" s="68"/>
    </row>
    <row r="984" spans="25:25">
      <c r="Y984" s="68"/>
    </row>
    <row r="985" spans="25:25">
      <c r="Y985" s="68"/>
    </row>
    <row r="986" spans="25:25">
      <c r="Y986" s="68"/>
    </row>
    <row r="987" spans="25:25">
      <c r="Y987" s="68"/>
    </row>
    <row r="988" spans="25:25">
      <c r="Y988" s="68"/>
    </row>
    <row r="989" spans="25:25">
      <c r="Y989" s="68"/>
    </row>
    <row r="990" spans="25:25">
      <c r="Y990" s="68"/>
    </row>
    <row r="991" spans="25:25">
      <c r="Y991" s="68"/>
    </row>
    <row r="992" spans="25:25">
      <c r="Y992" s="68"/>
    </row>
    <row r="993" spans="25:25">
      <c r="Y993" s="68"/>
    </row>
    <row r="994" spans="25:25">
      <c r="Y994" s="68"/>
    </row>
    <row r="995" spans="25:25">
      <c r="Y995" s="68"/>
    </row>
    <row r="996" spans="25:25">
      <c r="Y996" s="68"/>
    </row>
    <row r="997" spans="25:25">
      <c r="Y997" s="68"/>
    </row>
    <row r="998" spans="25:25">
      <c r="Y998" s="68"/>
    </row>
    <row r="999" spans="25:25">
      <c r="Y999" s="68"/>
    </row>
    <row r="1000" spans="25:25">
      <c r="Y1000" s="68"/>
    </row>
  </sheetData>
  <protectedRanges>
    <protectedRange sqref="F3" name="Intervalo2"/>
    <protectedRange sqref="L113:O113 L116:O116 L129:O130 L135:O135 L119:O121" name="Intervalo1_57_1"/>
    <protectedRange sqref="L136:O136" name="Intervalo1_57_1_1"/>
    <protectedRange sqref="F9" name="Intervalo2_1"/>
    <protectedRange sqref="L13:O13 L16:O16 L29:O30 L35:O35 L19:O21" name="Intervalo1_57_1_4"/>
    <protectedRange sqref="L36:O36" name="Intervalo1_57_1_1_1"/>
  </protectedRanges>
  <mergeCells count="5">
    <mergeCell ref="T5:Z5"/>
    <mergeCell ref="AA5:AC5"/>
    <mergeCell ref="G5:L5"/>
    <mergeCell ref="M5:O5"/>
    <mergeCell ref="Q5:S5"/>
  </mergeCells>
  <phoneticPr fontId="13" type="noConversion"/>
  <hyperlinks>
    <hyperlink ref="H11" r:id="rId1" xr:uid="{C3FC2A81-04AF-4BF9-BA21-F170D09D8AB8}"/>
    <hyperlink ref="H9" r:id="rId2" xr:uid="{E16C30CE-351B-4BD6-BFF5-9D179F137436}"/>
    <hyperlink ref="H10" r:id="rId3" xr:uid="{348B85D8-71AB-4F10-8BB0-4EE187A616D9}"/>
    <hyperlink ref="J10" r:id="rId4" xr:uid="{4230AC96-1507-4318-9B8A-15D842E86475}"/>
    <hyperlink ref="J9" r:id="rId5" xr:uid="{32A79B51-D941-4C02-9781-2049147CC39B}"/>
    <hyperlink ref="J11" r:id="rId6" xr:uid="{9ED87266-2831-4FB1-AD65-F8F90A13A226}"/>
    <hyperlink ref="J12" r:id="rId7" xr:uid="{0595E1BD-329E-472D-95EE-37FD337F4BE9}"/>
    <hyperlink ref="J7" r:id="rId8" xr:uid="{90920F35-0B6E-4229-8CF1-1F1658329ADB}"/>
    <hyperlink ref="H7" r:id="rId9" xr:uid="{1AA23E01-E720-4CE4-9D0D-E3B017FB15CF}"/>
    <hyperlink ref="H8" r:id="rId10" xr:uid="{FBB0766C-27E5-408E-8326-F097ABBBFE7F}"/>
    <hyperlink ref="J8" r:id="rId11" xr:uid="{72A8A01F-FB8F-458A-9BE7-5921E5BB2A56}"/>
    <hyperlink ref="H12" r:id="rId12" xr:uid="{08BAB75D-3C12-46C7-8451-543672622472}"/>
    <hyperlink ref="V37" r:id="rId13" xr:uid="{0337950A-4794-4F99-AC84-A77325F5ECC0}"/>
  </hyperlinks>
  <pageMargins left="0.511811024" right="0.511811024" top="0.78740157499999996" bottom="0.78740157499999996" header="0.31496062000000002" footer="0.31496062000000002"/>
  <pageSetup paperSize="9" orientation="portrait" r:id="rId14"/>
  <drawing r:id="rId15"/>
  <legacyDrawing r:id="rId1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17" name="Button 4">
              <controlPr defaultSize="0" print="0" autoFill="0" autoPict="0" macro="[0]!Planilha1.FormatSucroRows">
                <anchor moveWithCells="1" sizeWithCells="1">
                  <from>
                    <xdr:col>15</xdr:col>
                    <xdr:colOff>228600</xdr:colOff>
                    <xdr:row>2</xdr:row>
                    <xdr:rowOff>76200</xdr:rowOff>
                  </from>
                  <to>
                    <xdr:col>15</xdr:col>
                    <xdr:colOff>1524000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0CB9D25-E363-4A68-92A4-F98E2F090294}">
          <x14:formula1>
            <xm:f>Apoio!$C$3:$C$11</xm:f>
          </x14:formula1>
          <xm:sqref>P7:P37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A52EF-0BDD-45BA-8D07-29934D086570}">
  <sheetPr codeName="Planilha3">
    <pageSetUpPr fitToPage="1"/>
  </sheetPr>
  <dimension ref="A1:J17"/>
  <sheetViews>
    <sheetView zoomScale="54" zoomScaleNormal="100" workbookViewId="0">
      <selection activeCell="J3" sqref="J3"/>
    </sheetView>
  </sheetViews>
  <sheetFormatPr defaultColWidth="9.125" defaultRowHeight="24.75" customHeight="1"/>
  <cols>
    <col min="1" max="1" width="59.875" style="4" customWidth="1"/>
    <col min="2" max="2" width="21.75" style="4" bestFit="1" customWidth="1"/>
    <col min="3" max="3" width="28.75" style="6" customWidth="1"/>
    <col min="4" max="4" width="9" style="6" customWidth="1"/>
    <col min="5" max="5" width="60.625" style="6" customWidth="1"/>
    <col min="6" max="6" width="27.25" style="6" customWidth="1"/>
    <col min="7" max="7" width="36.875" style="7" customWidth="1"/>
    <col min="8" max="8" width="71.125" style="6" customWidth="1"/>
    <col min="9" max="9" width="36.75" style="6" customWidth="1"/>
    <col min="10" max="10" width="71.625" style="6" customWidth="1"/>
    <col min="11" max="11" width="69.75" style="5" customWidth="1"/>
    <col min="12" max="16384" width="9.125" style="5"/>
  </cols>
  <sheetData>
    <row r="1" spans="1:10" ht="24.75" customHeight="1">
      <c r="B1" s="5"/>
    </row>
    <row r="3" spans="1:10" ht="24.75" customHeight="1">
      <c r="A3" s="8" t="s">
        <v>246</v>
      </c>
    </row>
    <row r="5" spans="1:10" ht="24.75" customHeight="1">
      <c r="A5" s="9" t="s">
        <v>247</v>
      </c>
    </row>
    <row r="6" spans="1:10" s="12" customFormat="1" ht="24.75" customHeight="1">
      <c r="A6" s="10" t="s">
        <v>7</v>
      </c>
      <c r="B6" s="1" t="s">
        <v>8</v>
      </c>
      <c r="C6" s="1" t="s">
        <v>9</v>
      </c>
      <c r="D6" s="1" t="s">
        <v>10</v>
      </c>
      <c r="E6" s="2" t="s">
        <v>11</v>
      </c>
      <c r="F6" s="2" t="s">
        <v>12</v>
      </c>
      <c r="G6" s="3" t="s">
        <v>13</v>
      </c>
      <c r="H6" s="2" t="s">
        <v>14</v>
      </c>
      <c r="I6" s="3" t="s">
        <v>15</v>
      </c>
      <c r="J6" s="11" t="s">
        <v>16</v>
      </c>
    </row>
    <row r="7" spans="1:10" ht="14.25">
      <c r="A7" s="13" t="s">
        <v>41</v>
      </c>
      <c r="B7" s="14" t="s">
        <v>42</v>
      </c>
      <c r="C7" s="15" t="s">
        <v>43</v>
      </c>
      <c r="D7" s="15" t="s">
        <v>44</v>
      </c>
      <c r="E7" s="16" t="s">
        <v>45</v>
      </c>
      <c r="F7" s="17">
        <v>27112.799999999999</v>
      </c>
      <c r="G7" s="18" t="s">
        <v>46</v>
      </c>
      <c r="H7" s="19" t="s">
        <v>47</v>
      </c>
      <c r="I7" s="18" t="s">
        <v>48</v>
      </c>
      <c r="J7" s="20" t="s">
        <v>49</v>
      </c>
    </row>
    <row r="8" spans="1:10" ht="14.25">
      <c r="A8" s="13" t="s">
        <v>57</v>
      </c>
      <c r="B8" s="14" t="s">
        <v>58</v>
      </c>
      <c r="C8" s="15" t="s">
        <v>59</v>
      </c>
      <c r="D8" s="15" t="s">
        <v>44</v>
      </c>
      <c r="E8" s="16" t="s">
        <v>60</v>
      </c>
      <c r="F8" s="17">
        <v>30000</v>
      </c>
      <c r="G8" s="21" t="s">
        <v>61</v>
      </c>
      <c r="H8" s="19" t="s">
        <v>62</v>
      </c>
      <c r="I8" s="21" t="s">
        <v>63</v>
      </c>
      <c r="J8" s="20" t="s">
        <v>64</v>
      </c>
    </row>
    <row r="9" spans="1:10" ht="14.25">
      <c r="A9" s="22" t="s">
        <v>68</v>
      </c>
      <c r="B9" s="14" t="s">
        <v>69</v>
      </c>
      <c r="C9" s="23" t="s">
        <v>70</v>
      </c>
      <c r="D9" s="23" t="s">
        <v>71</v>
      </c>
      <c r="E9" s="24" t="s">
        <v>60</v>
      </c>
      <c r="F9" s="25">
        <v>204000</v>
      </c>
      <c r="G9" s="18" t="s">
        <v>72</v>
      </c>
      <c r="H9" s="19" t="s">
        <v>73</v>
      </c>
      <c r="I9" s="18" t="s">
        <v>74</v>
      </c>
      <c r="J9" s="20" t="s">
        <v>75</v>
      </c>
    </row>
    <row r="10" spans="1:10" ht="14.25">
      <c r="A10" s="13" t="s">
        <v>79</v>
      </c>
      <c r="B10" s="14" t="s">
        <v>80</v>
      </c>
      <c r="C10" s="15" t="s">
        <v>81</v>
      </c>
      <c r="D10" s="15" t="s">
        <v>71</v>
      </c>
      <c r="E10" s="16" t="s">
        <v>60</v>
      </c>
      <c r="F10" s="17">
        <v>16000</v>
      </c>
      <c r="G10" s="18" t="s">
        <v>82</v>
      </c>
      <c r="H10" s="19" t="s">
        <v>83</v>
      </c>
      <c r="I10" s="18" t="s">
        <v>84</v>
      </c>
      <c r="J10" s="20" t="s">
        <v>85</v>
      </c>
    </row>
    <row r="11" spans="1:10" ht="14.25">
      <c r="A11" s="22" t="s">
        <v>87</v>
      </c>
      <c r="B11" s="14" t="s">
        <v>88</v>
      </c>
      <c r="C11" s="23" t="s">
        <v>89</v>
      </c>
      <c r="D11" s="23" t="s">
        <v>90</v>
      </c>
      <c r="E11" s="24" t="s">
        <v>60</v>
      </c>
      <c r="F11" s="26">
        <v>110000</v>
      </c>
      <c r="G11" s="18" t="s">
        <v>91</v>
      </c>
      <c r="H11" s="19" t="s">
        <v>92</v>
      </c>
      <c r="I11" s="18" t="s">
        <v>93</v>
      </c>
      <c r="J11" s="20" t="s">
        <v>94</v>
      </c>
    </row>
    <row r="12" spans="1:10" ht="14.25">
      <c r="A12" s="13" t="s">
        <v>96</v>
      </c>
      <c r="B12" s="14" t="s">
        <v>97</v>
      </c>
      <c r="C12" s="15" t="s">
        <v>98</v>
      </c>
      <c r="D12" s="15" t="s">
        <v>44</v>
      </c>
      <c r="E12" s="16" t="s">
        <v>60</v>
      </c>
      <c r="F12" s="17">
        <v>30000</v>
      </c>
      <c r="G12" s="18" t="s">
        <v>99</v>
      </c>
      <c r="H12" s="19" t="s">
        <v>100</v>
      </c>
      <c r="I12" s="18" t="s">
        <v>101</v>
      </c>
      <c r="J12" s="20" t="s">
        <v>102</v>
      </c>
    </row>
    <row r="13" spans="1:10" ht="24.75" customHeight="1">
      <c r="A13" s="6"/>
    </row>
    <row r="14" spans="1:10" ht="24.75" customHeight="1">
      <c r="A14" s="6"/>
    </row>
    <row r="15" spans="1:10" ht="24.75" customHeight="1">
      <c r="A15" s="6"/>
    </row>
    <row r="16" spans="1:10" ht="24.75" customHeight="1">
      <c r="A16" s="6"/>
    </row>
    <row r="17" spans="1:1" ht="24.75" customHeight="1">
      <c r="A17" s="6"/>
    </row>
  </sheetData>
  <protectedRanges>
    <protectedRange sqref="F9" name="Intervalo2"/>
  </protectedRanges>
  <hyperlinks>
    <hyperlink ref="H11" r:id="rId1" xr:uid="{0675C194-BE83-40A9-9C80-8D420B37B38F}"/>
    <hyperlink ref="H9" r:id="rId2" xr:uid="{AB3ADCEB-CFFD-4F17-B9DC-24117EC7C08A}"/>
    <hyperlink ref="H10" r:id="rId3" xr:uid="{6AB1732B-4E6F-4C9D-9327-6E679C7AFB69}"/>
    <hyperlink ref="J10" r:id="rId4" xr:uid="{579BB70D-0A96-4C37-AB56-3CC78C972CC2}"/>
    <hyperlink ref="J9" r:id="rId5" xr:uid="{73E6E37A-5946-41BA-A354-1AFD2F157C6C}"/>
    <hyperlink ref="J11" r:id="rId6" xr:uid="{B9AFCE4D-20CB-4B89-A8F2-21E3B36281C6}"/>
    <hyperlink ref="J12" r:id="rId7" xr:uid="{F7AC331F-A3A8-40FC-9693-D04B8FF001C6}"/>
    <hyperlink ref="J7" r:id="rId8" xr:uid="{358AA304-5B65-40AA-B064-784A88152ECB}"/>
    <hyperlink ref="H7" r:id="rId9" xr:uid="{3CBFE202-5BDC-4F7E-AB87-D305FD10AB56}"/>
    <hyperlink ref="H8" r:id="rId10" xr:uid="{8CC29B28-375E-42E2-9443-35060DE12523}"/>
    <hyperlink ref="J8" r:id="rId11" xr:uid="{0700C2D6-367B-4BFA-8C1A-415846D1F788}"/>
    <hyperlink ref="H12" r:id="rId12" xr:uid="{AC5F5FF4-F6F7-4398-9D00-A5DB19D05F15}"/>
  </hyperlinks>
  <pageMargins left="0.51181102362204722" right="0.51181102362204722" top="0.78740157480314965" bottom="0.78740157480314965" header="0.31496062992125984" footer="0.31496062992125984"/>
  <pageSetup paperSize="9" fitToWidth="5" fitToHeight="6" orientation="portrait" r:id="rId13"/>
  <drawing r:id="rId14"/>
  <tableParts count="1">
    <tablePart r:id="rId1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CEE8E-9C9E-441C-9E86-6ED7C0A4032B}">
  <sheetPr codeName="Planilha4">
    <pageSetUpPr fitToPage="1"/>
  </sheetPr>
  <dimension ref="A1:XFA31"/>
  <sheetViews>
    <sheetView showGridLines="0" zoomScale="58" zoomScaleNormal="58" workbookViewId="0">
      <selection activeCell="E16" sqref="E16"/>
    </sheetView>
  </sheetViews>
  <sheetFormatPr defaultColWidth="9.125" defaultRowHeight="24.75" customHeight="1"/>
  <cols>
    <col min="1" max="1" width="64.125" style="4" customWidth="1"/>
    <col min="2" max="2" width="21.75" style="4" bestFit="1" customWidth="1"/>
    <col min="3" max="3" width="25.625" style="6" customWidth="1"/>
    <col min="4" max="4" width="16.75" style="6" customWidth="1"/>
    <col min="5" max="5" width="36.625" style="6" customWidth="1"/>
    <col min="6" max="6" width="31.25" style="5" customWidth="1"/>
    <col min="7" max="7" width="48.375" style="5" customWidth="1"/>
    <col min="8" max="16384" width="9.125" style="30"/>
  </cols>
  <sheetData>
    <row r="1" spans="1:7" ht="24.75" customHeight="1">
      <c r="B1" s="5"/>
    </row>
    <row r="3" spans="1:7" ht="24.75" customHeight="1">
      <c r="A3" s="8" t="s">
        <v>246</v>
      </c>
    </row>
    <row r="5" spans="1:7" ht="18.75" customHeight="1">
      <c r="A5" s="9" t="s">
        <v>248</v>
      </c>
    </row>
    <row r="6" spans="1:7" s="36" customFormat="1" ht="15">
      <c r="A6" s="31" t="s">
        <v>7</v>
      </c>
      <c r="B6" s="32" t="s">
        <v>8</v>
      </c>
      <c r="C6" s="32" t="s">
        <v>9</v>
      </c>
      <c r="D6" s="32" t="s">
        <v>10</v>
      </c>
      <c r="E6" s="33" t="s">
        <v>249</v>
      </c>
      <c r="F6" s="34" t="s">
        <v>17</v>
      </c>
      <c r="G6" s="35" t="s">
        <v>18</v>
      </c>
    </row>
    <row r="7" spans="1:7" s="36" customFormat="1" ht="15" customHeight="1">
      <c r="A7" s="37" t="s">
        <v>104</v>
      </c>
      <c r="B7" s="38" t="s">
        <v>105</v>
      </c>
      <c r="C7" s="38" t="s">
        <v>106</v>
      </c>
      <c r="D7" s="38" t="s">
        <v>107</v>
      </c>
      <c r="E7" s="39">
        <v>14400</v>
      </c>
      <c r="F7" s="38" t="s">
        <v>108</v>
      </c>
      <c r="G7" s="40" t="s">
        <v>109</v>
      </c>
    </row>
    <row r="8" spans="1:7" s="36" customFormat="1" ht="15" customHeight="1">
      <c r="A8" s="41" t="s">
        <v>112</v>
      </c>
      <c r="B8" s="38" t="s">
        <v>113</v>
      </c>
      <c r="C8" s="38" t="s">
        <v>114</v>
      </c>
      <c r="D8" s="38" t="s">
        <v>115</v>
      </c>
      <c r="E8" s="39">
        <v>31440</v>
      </c>
      <c r="F8" s="38" t="s">
        <v>108</v>
      </c>
      <c r="G8" s="40" t="s">
        <v>116</v>
      </c>
    </row>
    <row r="9" spans="1:7" s="36" customFormat="1" ht="15" customHeight="1">
      <c r="A9" s="37" t="s">
        <v>119</v>
      </c>
      <c r="B9" s="38" t="s">
        <v>120</v>
      </c>
      <c r="C9" s="38" t="s">
        <v>121</v>
      </c>
      <c r="D9" s="38" t="s">
        <v>44</v>
      </c>
      <c r="E9" s="39">
        <v>75000</v>
      </c>
      <c r="F9" s="38" t="s">
        <v>108</v>
      </c>
      <c r="G9" s="42" t="s">
        <v>122</v>
      </c>
    </row>
    <row r="10" spans="1:7" s="36" customFormat="1" ht="15" customHeight="1">
      <c r="A10" s="37" t="s">
        <v>125</v>
      </c>
      <c r="B10" s="38" t="s">
        <v>126</v>
      </c>
      <c r="C10" s="38" t="s">
        <v>127</v>
      </c>
      <c r="D10" s="38" t="s">
        <v>128</v>
      </c>
      <c r="E10" s="39">
        <v>70000</v>
      </c>
      <c r="F10" s="38" t="s">
        <v>108</v>
      </c>
      <c r="G10" s="43" t="s">
        <v>122</v>
      </c>
    </row>
    <row r="11" spans="1:7" s="36" customFormat="1" ht="15" customHeight="1">
      <c r="A11" s="37" t="s">
        <v>132</v>
      </c>
      <c r="B11" s="38" t="s">
        <v>133</v>
      </c>
      <c r="C11" s="38" t="s">
        <v>134</v>
      </c>
      <c r="D11" s="38" t="s">
        <v>44</v>
      </c>
      <c r="E11" s="39">
        <v>225840</v>
      </c>
      <c r="F11" s="38" t="s">
        <v>108</v>
      </c>
      <c r="G11" s="40" t="s">
        <v>135</v>
      </c>
    </row>
    <row r="12" spans="1:7" s="36" customFormat="1" ht="15" customHeight="1">
      <c r="A12" s="37" t="s">
        <v>137</v>
      </c>
      <c r="B12" s="38" t="s">
        <v>138</v>
      </c>
      <c r="C12" s="38" t="s">
        <v>139</v>
      </c>
      <c r="D12" s="38" t="s">
        <v>44</v>
      </c>
      <c r="E12" s="39">
        <v>54000</v>
      </c>
      <c r="F12" s="38" t="s">
        <v>108</v>
      </c>
      <c r="G12" s="43" t="s">
        <v>140</v>
      </c>
    </row>
    <row r="13" spans="1:7" s="36" customFormat="1" ht="15" customHeight="1">
      <c r="A13" s="37" t="s">
        <v>144</v>
      </c>
      <c r="B13" s="38" t="s">
        <v>145</v>
      </c>
      <c r="C13" s="38" t="s">
        <v>146</v>
      </c>
      <c r="D13" s="38" t="s">
        <v>44</v>
      </c>
      <c r="E13" s="39">
        <v>19008</v>
      </c>
      <c r="F13" s="38" t="s">
        <v>108</v>
      </c>
      <c r="G13" s="40" t="s">
        <v>147</v>
      </c>
    </row>
    <row r="14" spans="1:7" ht="15" customHeight="1">
      <c r="A14" s="37" t="s">
        <v>151</v>
      </c>
      <c r="B14" s="38" t="s">
        <v>152</v>
      </c>
      <c r="C14" s="38" t="s">
        <v>153</v>
      </c>
      <c r="D14" s="38" t="s">
        <v>44</v>
      </c>
      <c r="E14" s="39">
        <v>73920</v>
      </c>
      <c r="F14" s="38" t="s">
        <v>108</v>
      </c>
      <c r="G14" s="43" t="s">
        <v>109</v>
      </c>
    </row>
    <row r="15" spans="1:7" ht="15" customHeight="1">
      <c r="A15" s="37" t="s">
        <v>157</v>
      </c>
      <c r="B15" s="38" t="s">
        <v>158</v>
      </c>
      <c r="C15" s="38" t="s">
        <v>159</v>
      </c>
      <c r="D15" s="38" t="s">
        <v>128</v>
      </c>
      <c r="E15" s="39">
        <v>10000</v>
      </c>
      <c r="F15" s="38" t="s">
        <v>108</v>
      </c>
      <c r="G15" s="43" t="s">
        <v>109</v>
      </c>
    </row>
    <row r="16" spans="1:7" ht="15" customHeight="1">
      <c r="A16" s="44" t="s">
        <v>161</v>
      </c>
      <c r="B16" s="45" t="s">
        <v>162</v>
      </c>
      <c r="C16" s="45" t="s">
        <v>163</v>
      </c>
      <c r="D16" s="45" t="s">
        <v>164</v>
      </c>
      <c r="E16" s="46">
        <v>55000</v>
      </c>
      <c r="F16" s="45" t="s">
        <v>108</v>
      </c>
      <c r="G16" s="47" t="s">
        <v>116</v>
      </c>
    </row>
    <row r="17" spans="1:1023 1027:2045 2049:3071 3073:4096 4100:5118 5122:6144 6146:8191 8195:9213 9217:10239 10241:11264 11268:12286 12290:13312 13314:15359 15363:16381" ht="15" customHeight="1">
      <c r="A17" s="37" t="s">
        <v>165</v>
      </c>
      <c r="B17" s="38" t="s">
        <v>166</v>
      </c>
      <c r="C17" s="38" t="s">
        <v>167</v>
      </c>
      <c r="D17" s="38" t="s">
        <v>168</v>
      </c>
      <c r="E17" s="39">
        <v>31200</v>
      </c>
      <c r="F17" s="38" t="s">
        <v>108</v>
      </c>
      <c r="G17" s="48" t="s">
        <v>169</v>
      </c>
    </row>
    <row r="18" spans="1:1023 1027:2045 2049:3071 3073:4096 4100:5118 5122:6144 6146:8191 8195:9213 9217:10239 10241:11264 11268:12286 12290:13312 13314:15359 15363:16381" ht="15" customHeight="1">
      <c r="A18" s="44" t="s">
        <v>172</v>
      </c>
      <c r="B18" s="45" t="s">
        <v>173</v>
      </c>
      <c r="C18" s="45" t="s">
        <v>174</v>
      </c>
      <c r="D18" s="45" t="s">
        <v>115</v>
      </c>
      <c r="E18" s="46">
        <v>6720</v>
      </c>
      <c r="F18" s="45" t="s">
        <v>108</v>
      </c>
      <c r="G18" s="47" t="s">
        <v>116</v>
      </c>
    </row>
    <row r="19" spans="1:1023 1027:2045 2049:3071 3073:4096 4100:5118 5122:6144 6146:8191 8195:9213 9217:10239 10241:11264 11268:12286 12290:13312 13314:15359 15363:16381" ht="15" customHeight="1">
      <c r="A19" s="44" t="s">
        <v>177</v>
      </c>
      <c r="B19" s="45" t="s">
        <v>178</v>
      </c>
      <c r="C19" s="45" t="s">
        <v>179</v>
      </c>
      <c r="D19" s="45" t="s">
        <v>115</v>
      </c>
      <c r="E19" s="46">
        <v>6720</v>
      </c>
      <c r="F19" s="45" t="s">
        <v>108</v>
      </c>
      <c r="G19" s="47" t="s">
        <v>180</v>
      </c>
    </row>
    <row r="20" spans="1:1023 1027:2045 2049:3071 3073:4096 4100:5118 5122:6144 6146:8191 8195:9213 9217:10239 10241:11264 11268:12286 12290:13312 13314:15359 15363:16381" ht="15" customHeight="1">
      <c r="A20" s="37" t="s">
        <v>181</v>
      </c>
      <c r="B20" s="38" t="s">
        <v>182</v>
      </c>
      <c r="C20" s="38" t="s">
        <v>183</v>
      </c>
      <c r="D20" s="38" t="s">
        <v>184</v>
      </c>
      <c r="E20" s="39">
        <v>4320</v>
      </c>
      <c r="F20" s="38" t="s">
        <v>108</v>
      </c>
      <c r="G20" s="43" t="s">
        <v>109</v>
      </c>
    </row>
    <row r="21" spans="1:1023 1027:2045 2049:3071 3073:4096 4100:5118 5122:6144 6146:8191 8195:9213 9217:10239 10241:11264 11268:12286 12290:13312 13314:15359 15363:16381" ht="15" customHeight="1">
      <c r="A21" s="37" t="s">
        <v>187</v>
      </c>
      <c r="B21" s="45" t="s">
        <v>188</v>
      </c>
      <c r="C21" s="45" t="s">
        <v>174</v>
      </c>
      <c r="D21" s="45" t="s">
        <v>115</v>
      </c>
      <c r="E21" s="39">
        <v>6720</v>
      </c>
      <c r="F21" s="45" t="s">
        <v>108</v>
      </c>
      <c r="G21" s="42" t="s">
        <v>189</v>
      </c>
    </row>
    <row r="22" spans="1:1023 1027:2045 2049:3071 3073:4096 4100:5118 5122:6144 6146:8191 8195:9213 9217:10239 10241:11264 11268:12286 12290:13312 13314:15359 15363:16381" ht="15" customHeight="1">
      <c r="A22" s="49" t="s">
        <v>190</v>
      </c>
      <c r="B22" s="50" t="s">
        <v>191</v>
      </c>
      <c r="C22" s="50" t="s">
        <v>192</v>
      </c>
      <c r="D22" s="50" t="s">
        <v>193</v>
      </c>
      <c r="E22" s="51">
        <v>162000</v>
      </c>
      <c r="F22" s="38" t="s">
        <v>108</v>
      </c>
      <c r="G22" s="42" t="s">
        <v>122</v>
      </c>
    </row>
    <row r="23" spans="1:1023 1027:2045 2049:3071 3073:4096 4100:5118 5122:6144 6146:8191 8195:9213 9217:10239 10241:11264 11268:12286 12290:13312 13314:15359 15363:16381" ht="15" customHeight="1">
      <c r="A23" s="37" t="s">
        <v>196</v>
      </c>
      <c r="B23" s="38" t="s">
        <v>197</v>
      </c>
      <c r="C23" s="38" t="s">
        <v>198</v>
      </c>
      <c r="D23" s="38" t="s">
        <v>44</v>
      </c>
      <c r="E23" s="39">
        <v>130368</v>
      </c>
      <c r="F23" s="38" t="s">
        <v>108</v>
      </c>
      <c r="G23" s="40" t="s">
        <v>109</v>
      </c>
    </row>
    <row r="24" spans="1:1023 1027:2045 2049:3071 3073:4096 4100:5118 5122:6144 6146:8191 8195:9213 9217:10239 10241:11264 11268:12286 12290:13312 13314:15359 15363:16381" ht="15" customHeight="1">
      <c r="A24" s="52" t="s">
        <v>201</v>
      </c>
      <c r="B24" s="50" t="s">
        <v>202</v>
      </c>
      <c r="C24" s="50" t="s">
        <v>203</v>
      </c>
      <c r="D24" s="50" t="s">
        <v>204</v>
      </c>
      <c r="E24" s="51">
        <v>10800</v>
      </c>
      <c r="F24" s="50" t="s">
        <v>108</v>
      </c>
      <c r="G24" s="40" t="s">
        <v>205</v>
      </c>
    </row>
    <row r="25" spans="1:1023 1027:2045 2049:3071 3073:4096 4100:5118 5122:6144 6146:8191 8195:9213 9217:10239 10241:11264 11268:12286 12290:13312 13314:15359 15363:16381" ht="15" customHeight="1">
      <c r="A25" s="37" t="s">
        <v>207</v>
      </c>
      <c r="B25" s="38" t="s">
        <v>208</v>
      </c>
      <c r="C25" s="38" t="s">
        <v>114</v>
      </c>
      <c r="D25" s="38" t="s">
        <v>115</v>
      </c>
      <c r="E25" s="39">
        <v>4320</v>
      </c>
      <c r="F25" s="50" t="s">
        <v>108</v>
      </c>
      <c r="G25" s="43" t="s">
        <v>209</v>
      </c>
    </row>
    <row r="26" spans="1:1023 1027:2045 2049:3071 3073:4096 4100:5118 5122:6144 6146:8191 8195:9213 9217:10239 10241:11264 11268:12286 12290:13312 13314:15359 15363:16381" ht="15" customHeight="1">
      <c r="A26" s="37" t="s">
        <v>212</v>
      </c>
      <c r="B26" s="38" t="s">
        <v>213</v>
      </c>
      <c r="C26" s="38" t="s">
        <v>214</v>
      </c>
      <c r="D26" s="38" t="s">
        <v>128</v>
      </c>
      <c r="E26" s="39">
        <v>36000</v>
      </c>
      <c r="F26" s="38" t="s">
        <v>108</v>
      </c>
      <c r="G26" s="40" t="s">
        <v>122</v>
      </c>
    </row>
    <row r="27" spans="1:1023 1027:2045 2049:3071 3073:4096 4100:5118 5122:6144 6146:8191 8195:9213 9217:10239 10241:11264 11268:12286 12290:13312 13314:15359 15363:16381" s="54" customFormat="1" ht="15" customHeight="1">
      <c r="A27" s="52" t="s">
        <v>218</v>
      </c>
      <c r="B27" s="50" t="s">
        <v>219</v>
      </c>
      <c r="C27" s="50" t="s">
        <v>220</v>
      </c>
      <c r="D27" s="50" t="s">
        <v>184</v>
      </c>
      <c r="E27" s="51">
        <v>17300</v>
      </c>
      <c r="F27" s="50" t="s">
        <v>108</v>
      </c>
      <c r="G27" s="40" t="s">
        <v>221</v>
      </c>
      <c r="H27" s="53"/>
      <c r="L27" s="28"/>
      <c r="N27" s="55"/>
      <c r="O27" s="53"/>
      <c r="S27" s="28"/>
      <c r="U27" s="55"/>
      <c r="V27" s="53"/>
      <c r="Z27" s="28"/>
      <c r="AB27" s="55"/>
      <c r="AC27" s="53"/>
      <c r="AG27" s="28"/>
      <c r="AI27" s="55"/>
      <c r="AJ27" s="53"/>
      <c r="AN27" s="28"/>
      <c r="AP27" s="55"/>
      <c r="AQ27" s="53"/>
      <c r="AU27" s="28"/>
      <c r="AW27" s="55"/>
      <c r="AX27" s="53"/>
      <c r="BB27" s="28"/>
      <c r="BD27" s="55"/>
      <c r="BE27" s="53"/>
      <c r="BI27" s="28"/>
      <c r="BK27" s="55"/>
      <c r="BL27" s="53"/>
      <c r="BP27" s="28"/>
      <c r="BR27" s="55"/>
      <c r="BS27" s="53"/>
      <c r="BW27" s="28"/>
      <c r="BY27" s="55"/>
      <c r="BZ27" s="53"/>
      <c r="CD27" s="28"/>
      <c r="CF27" s="55"/>
      <c r="CG27" s="53"/>
      <c r="CK27" s="28"/>
      <c r="CM27" s="55"/>
      <c r="CN27" s="53"/>
      <c r="CR27" s="28"/>
      <c r="CT27" s="55"/>
      <c r="CU27" s="53"/>
      <c r="CY27" s="28"/>
      <c r="DA27" s="55"/>
      <c r="DB27" s="53"/>
      <c r="DF27" s="28"/>
      <c r="DH27" s="55"/>
      <c r="DI27" s="53"/>
      <c r="DM27" s="28"/>
      <c r="DO27" s="55"/>
      <c r="DP27" s="53"/>
      <c r="DT27" s="28"/>
      <c r="DV27" s="55"/>
      <c r="DW27" s="53"/>
      <c r="EA27" s="28"/>
      <c r="EC27" s="55"/>
      <c r="ED27" s="53"/>
      <c r="EH27" s="28"/>
      <c r="EJ27" s="55"/>
      <c r="EK27" s="53"/>
      <c r="EO27" s="28"/>
      <c r="EQ27" s="55"/>
      <c r="ER27" s="53"/>
      <c r="EV27" s="28"/>
      <c r="EX27" s="55"/>
      <c r="EY27" s="53"/>
      <c r="FC27" s="28"/>
      <c r="FE27" s="55"/>
      <c r="FF27" s="53"/>
      <c r="FJ27" s="28"/>
      <c r="FL27" s="55"/>
      <c r="FM27" s="53"/>
      <c r="FQ27" s="28"/>
      <c r="FS27" s="55"/>
      <c r="FT27" s="53"/>
      <c r="FX27" s="28"/>
      <c r="FZ27" s="55"/>
      <c r="GA27" s="53"/>
      <c r="GE27" s="28"/>
      <c r="GG27" s="55"/>
      <c r="GH27" s="53"/>
      <c r="GL27" s="28"/>
      <c r="GN27" s="55"/>
      <c r="GO27" s="53"/>
      <c r="GS27" s="28"/>
      <c r="GU27" s="55"/>
      <c r="GV27" s="53"/>
      <c r="GZ27" s="28"/>
      <c r="HB27" s="55"/>
      <c r="HC27" s="53"/>
      <c r="HG27" s="28"/>
      <c r="HI27" s="55"/>
      <c r="HJ27" s="53"/>
      <c r="HN27" s="28"/>
      <c r="HP27" s="55"/>
      <c r="HQ27" s="53"/>
      <c r="HU27" s="28"/>
      <c r="HW27" s="55"/>
      <c r="HX27" s="53"/>
      <c r="IB27" s="28"/>
      <c r="ID27" s="55"/>
      <c r="IE27" s="53"/>
      <c r="II27" s="28"/>
      <c r="IK27" s="55"/>
      <c r="IL27" s="53"/>
      <c r="IP27" s="28"/>
      <c r="IR27" s="55"/>
      <c r="IS27" s="53"/>
      <c r="IW27" s="28"/>
      <c r="IY27" s="55"/>
      <c r="IZ27" s="53"/>
      <c r="JD27" s="28"/>
      <c r="JF27" s="55"/>
      <c r="JG27" s="53"/>
      <c r="JK27" s="28"/>
      <c r="JM27" s="55"/>
      <c r="JN27" s="53"/>
      <c r="JR27" s="28"/>
      <c r="JT27" s="55"/>
      <c r="JU27" s="53"/>
      <c r="JY27" s="28"/>
      <c r="KA27" s="55"/>
      <c r="KB27" s="53"/>
      <c r="KF27" s="28"/>
      <c r="KH27" s="55"/>
      <c r="KI27" s="53"/>
      <c r="KM27" s="28"/>
      <c r="KO27" s="55"/>
      <c r="KP27" s="53"/>
      <c r="KT27" s="28"/>
      <c r="KV27" s="55"/>
      <c r="KW27" s="53"/>
      <c r="LA27" s="28"/>
      <c r="LC27" s="55"/>
      <c r="LD27" s="53"/>
      <c r="LH27" s="28"/>
      <c r="LJ27" s="55"/>
      <c r="LK27" s="53"/>
      <c r="LO27" s="28"/>
      <c r="LQ27" s="55"/>
      <c r="LR27" s="53"/>
      <c r="LV27" s="28"/>
      <c r="LX27" s="55"/>
      <c r="LY27" s="53"/>
      <c r="MC27" s="28"/>
      <c r="ME27" s="55"/>
      <c r="MF27" s="53"/>
      <c r="MJ27" s="28"/>
      <c r="ML27" s="55"/>
      <c r="MM27" s="53"/>
      <c r="MQ27" s="28"/>
      <c r="MS27" s="55"/>
      <c r="MT27" s="53"/>
      <c r="MX27" s="28"/>
      <c r="MZ27" s="55"/>
      <c r="NA27" s="53"/>
      <c r="NE27" s="28"/>
      <c r="NG27" s="55"/>
      <c r="NH27" s="53"/>
      <c r="NL27" s="28"/>
      <c r="NN27" s="55"/>
      <c r="NO27" s="53"/>
      <c r="NS27" s="28"/>
      <c r="NU27" s="55"/>
      <c r="NV27" s="53"/>
      <c r="NZ27" s="28"/>
      <c r="OB27" s="55"/>
      <c r="OC27" s="53"/>
      <c r="OG27" s="28"/>
      <c r="OI27" s="55"/>
      <c r="OJ27" s="53"/>
      <c r="ON27" s="28"/>
      <c r="OP27" s="55"/>
      <c r="OQ27" s="53"/>
      <c r="OU27" s="28"/>
      <c r="OW27" s="55"/>
      <c r="OX27" s="53"/>
      <c r="PB27" s="28"/>
      <c r="PD27" s="55"/>
      <c r="PE27" s="53"/>
      <c r="PI27" s="28"/>
      <c r="PK27" s="55"/>
      <c r="PL27" s="53"/>
      <c r="PP27" s="28"/>
      <c r="PR27" s="55"/>
      <c r="PS27" s="53"/>
      <c r="PW27" s="28"/>
      <c r="PY27" s="55"/>
      <c r="PZ27" s="53"/>
      <c r="QD27" s="28"/>
      <c r="QF27" s="55"/>
      <c r="QG27" s="53"/>
      <c r="QK27" s="28"/>
      <c r="QM27" s="55"/>
      <c r="QN27" s="53"/>
      <c r="QR27" s="28"/>
      <c r="QT27" s="55"/>
      <c r="QU27" s="53"/>
      <c r="QY27" s="28"/>
      <c r="RA27" s="55"/>
      <c r="RB27" s="53"/>
      <c r="RF27" s="28"/>
      <c r="RH27" s="55"/>
      <c r="RI27" s="53"/>
      <c r="RM27" s="28"/>
      <c r="RO27" s="55"/>
      <c r="RP27" s="53"/>
      <c r="RT27" s="28"/>
      <c r="RV27" s="55"/>
      <c r="RW27" s="53"/>
      <c r="SA27" s="28"/>
      <c r="SC27" s="55"/>
      <c r="SD27" s="53"/>
      <c r="SH27" s="28"/>
      <c r="SJ27" s="55"/>
      <c r="SK27" s="53"/>
      <c r="SO27" s="28"/>
      <c r="SQ27" s="55"/>
      <c r="SR27" s="53"/>
      <c r="SV27" s="28"/>
      <c r="SX27" s="55"/>
      <c r="SY27" s="53"/>
      <c r="TC27" s="28"/>
      <c r="TE27" s="55"/>
      <c r="TF27" s="53"/>
      <c r="TJ27" s="28"/>
      <c r="TL27" s="55"/>
      <c r="TM27" s="53"/>
      <c r="TQ27" s="28"/>
      <c r="TS27" s="55"/>
      <c r="TT27" s="53"/>
      <c r="TX27" s="28"/>
      <c r="TZ27" s="55"/>
      <c r="UA27" s="53"/>
      <c r="UE27" s="28"/>
      <c r="UG27" s="55"/>
      <c r="UH27" s="53"/>
      <c r="UL27" s="28"/>
      <c r="UN27" s="55"/>
      <c r="UO27" s="53"/>
      <c r="US27" s="28"/>
      <c r="UU27" s="55"/>
      <c r="UV27" s="53"/>
      <c r="UZ27" s="28"/>
      <c r="VB27" s="55"/>
      <c r="VC27" s="53"/>
      <c r="VG27" s="28"/>
      <c r="VI27" s="55"/>
      <c r="VJ27" s="53"/>
      <c r="VN27" s="28"/>
      <c r="VP27" s="55"/>
      <c r="VQ27" s="53"/>
      <c r="VU27" s="28"/>
      <c r="VW27" s="55"/>
      <c r="VX27" s="53"/>
      <c r="WB27" s="28"/>
      <c r="WD27" s="55"/>
      <c r="WE27" s="53"/>
      <c r="WI27" s="28"/>
      <c r="WK27" s="55"/>
      <c r="WL27" s="53"/>
      <c r="WP27" s="28"/>
      <c r="WR27" s="55"/>
      <c r="WS27" s="53"/>
      <c r="WW27" s="28"/>
      <c r="WY27" s="55"/>
      <c r="WZ27" s="53"/>
      <c r="XD27" s="28"/>
      <c r="XF27" s="55"/>
      <c r="XG27" s="53"/>
      <c r="XK27" s="28"/>
      <c r="XM27" s="55"/>
      <c r="XN27" s="53"/>
      <c r="XR27" s="28"/>
      <c r="XT27" s="55"/>
      <c r="XU27" s="53"/>
      <c r="XY27" s="28"/>
      <c r="YA27" s="55"/>
      <c r="YB27" s="53"/>
      <c r="YF27" s="28"/>
      <c r="YH27" s="55"/>
      <c r="YI27" s="53"/>
      <c r="YM27" s="28"/>
      <c r="YO27" s="55"/>
      <c r="YP27" s="53"/>
      <c r="YT27" s="28"/>
      <c r="YV27" s="55"/>
      <c r="YW27" s="53"/>
      <c r="ZA27" s="28"/>
      <c r="ZC27" s="55"/>
      <c r="ZD27" s="53"/>
      <c r="ZH27" s="28"/>
      <c r="ZJ27" s="55"/>
      <c r="ZK27" s="53"/>
      <c r="ZO27" s="28"/>
      <c r="ZQ27" s="55"/>
      <c r="ZR27" s="53"/>
      <c r="ZV27" s="28"/>
      <c r="ZX27" s="55"/>
      <c r="ZY27" s="53"/>
      <c r="AAC27" s="28"/>
      <c r="AAE27" s="55"/>
      <c r="AAF27" s="53"/>
      <c r="AAJ27" s="28"/>
      <c r="AAL27" s="55"/>
      <c r="AAM27" s="53"/>
      <c r="AAQ27" s="28"/>
      <c r="AAS27" s="55"/>
      <c r="AAT27" s="53"/>
      <c r="AAX27" s="28"/>
      <c r="AAZ27" s="55"/>
      <c r="ABA27" s="53"/>
      <c r="ABE27" s="28"/>
      <c r="ABG27" s="55"/>
      <c r="ABH27" s="53"/>
      <c r="ABL27" s="28"/>
      <c r="ABN27" s="55"/>
      <c r="ABO27" s="53"/>
      <c r="ABS27" s="28"/>
      <c r="ABU27" s="55"/>
      <c r="ABV27" s="53"/>
      <c r="ABZ27" s="28"/>
      <c r="ACB27" s="55"/>
      <c r="ACC27" s="53"/>
      <c r="ACG27" s="28"/>
      <c r="ACI27" s="55"/>
      <c r="ACJ27" s="53"/>
      <c r="ACN27" s="28"/>
      <c r="ACP27" s="55"/>
      <c r="ACQ27" s="53"/>
      <c r="ACU27" s="28"/>
      <c r="ACW27" s="55"/>
      <c r="ACX27" s="53"/>
      <c r="ADB27" s="28"/>
      <c r="ADD27" s="55"/>
      <c r="ADE27" s="53"/>
      <c r="ADI27" s="28"/>
      <c r="ADK27" s="55"/>
      <c r="ADL27" s="53"/>
      <c r="ADP27" s="28"/>
      <c r="ADR27" s="55"/>
      <c r="ADS27" s="53"/>
      <c r="ADW27" s="28"/>
      <c r="ADY27" s="55"/>
      <c r="ADZ27" s="53"/>
      <c r="AED27" s="28"/>
      <c r="AEF27" s="55"/>
      <c r="AEG27" s="53"/>
      <c r="AEK27" s="28"/>
      <c r="AEM27" s="55"/>
      <c r="AEN27" s="53"/>
      <c r="AER27" s="28"/>
      <c r="AET27" s="55"/>
      <c r="AEU27" s="53"/>
      <c r="AEY27" s="28"/>
      <c r="AFA27" s="55"/>
      <c r="AFB27" s="53"/>
      <c r="AFF27" s="28"/>
      <c r="AFH27" s="55"/>
      <c r="AFI27" s="53"/>
      <c r="AFM27" s="28"/>
      <c r="AFO27" s="55"/>
      <c r="AFP27" s="53"/>
      <c r="AFT27" s="28"/>
      <c r="AFV27" s="55"/>
      <c r="AFW27" s="53"/>
      <c r="AGA27" s="28"/>
      <c r="AGC27" s="55"/>
      <c r="AGD27" s="53"/>
      <c r="AGH27" s="28"/>
      <c r="AGJ27" s="55"/>
      <c r="AGK27" s="53"/>
      <c r="AGO27" s="28"/>
      <c r="AGQ27" s="55"/>
      <c r="AGR27" s="53"/>
      <c r="AGV27" s="28"/>
      <c r="AGX27" s="55"/>
      <c r="AGY27" s="53"/>
      <c r="AHC27" s="28"/>
      <c r="AHE27" s="55"/>
      <c r="AHF27" s="53"/>
      <c r="AHJ27" s="28"/>
      <c r="AHL27" s="55"/>
      <c r="AHM27" s="53"/>
      <c r="AHQ27" s="28"/>
      <c r="AHS27" s="55"/>
      <c r="AHT27" s="53"/>
      <c r="AHX27" s="28"/>
      <c r="AHZ27" s="55"/>
      <c r="AIA27" s="53"/>
      <c r="AIE27" s="28"/>
      <c r="AIG27" s="55"/>
      <c r="AIH27" s="53"/>
      <c r="AIL27" s="28"/>
      <c r="AIN27" s="55"/>
      <c r="AIO27" s="53"/>
      <c r="AIS27" s="28"/>
      <c r="AIU27" s="55"/>
      <c r="AIV27" s="53"/>
      <c r="AIZ27" s="28"/>
      <c r="AJB27" s="55"/>
      <c r="AJC27" s="53"/>
      <c r="AJG27" s="28"/>
      <c r="AJI27" s="55"/>
      <c r="AJJ27" s="53"/>
      <c r="AJN27" s="28"/>
      <c r="AJP27" s="55"/>
      <c r="AJQ27" s="53"/>
      <c r="AJU27" s="28"/>
      <c r="AJW27" s="55"/>
      <c r="AJX27" s="53"/>
      <c r="AKB27" s="28"/>
      <c r="AKD27" s="55"/>
      <c r="AKE27" s="53"/>
      <c r="AKI27" s="28"/>
      <c r="AKK27" s="55"/>
      <c r="AKL27" s="53"/>
      <c r="AKP27" s="28"/>
      <c r="AKR27" s="55"/>
      <c r="AKS27" s="53"/>
      <c r="AKW27" s="28"/>
      <c r="AKY27" s="55"/>
      <c r="AKZ27" s="53"/>
      <c r="ALD27" s="28"/>
      <c r="ALF27" s="55"/>
      <c r="ALG27" s="53"/>
      <c r="ALK27" s="28"/>
      <c r="ALM27" s="55"/>
      <c r="ALN27" s="53"/>
      <c r="ALR27" s="28"/>
      <c r="ALT27" s="55"/>
      <c r="ALU27" s="53"/>
      <c r="ALY27" s="28"/>
      <c r="AMA27" s="55"/>
      <c r="AMB27" s="53"/>
      <c r="AMF27" s="28"/>
      <c r="AMH27" s="55"/>
      <c r="AMI27" s="53"/>
      <c r="AMM27" s="28"/>
      <c r="AMO27" s="55"/>
      <c r="AMP27" s="53"/>
      <c r="AMT27" s="28"/>
      <c r="AMV27" s="55"/>
      <c r="AMW27" s="53"/>
      <c r="ANA27" s="28"/>
      <c r="ANC27" s="55"/>
      <c r="AND27" s="53"/>
      <c r="ANH27" s="28"/>
      <c r="ANJ27" s="55"/>
      <c r="ANK27" s="53"/>
      <c r="ANO27" s="28"/>
      <c r="ANQ27" s="55"/>
      <c r="ANR27" s="53"/>
      <c r="ANV27" s="28"/>
      <c r="ANX27" s="55"/>
      <c r="ANY27" s="53"/>
      <c r="AOC27" s="28"/>
      <c r="AOE27" s="55"/>
      <c r="AOF27" s="53"/>
      <c r="AOJ27" s="28"/>
      <c r="AOL27" s="55"/>
      <c r="AOM27" s="53"/>
      <c r="AOQ27" s="28"/>
      <c r="AOS27" s="55"/>
      <c r="AOT27" s="53"/>
      <c r="AOX27" s="28"/>
      <c r="AOZ27" s="55"/>
      <c r="APA27" s="53"/>
      <c r="APE27" s="28"/>
      <c r="APG27" s="55"/>
      <c r="APH27" s="53"/>
      <c r="APL27" s="28"/>
      <c r="APN27" s="55"/>
      <c r="APO27" s="53"/>
      <c r="APS27" s="28"/>
      <c r="APU27" s="55"/>
      <c r="APV27" s="53"/>
      <c r="APZ27" s="28"/>
      <c r="AQB27" s="55"/>
      <c r="AQC27" s="53"/>
      <c r="AQG27" s="28"/>
      <c r="AQI27" s="55"/>
      <c r="AQJ27" s="53"/>
      <c r="AQN27" s="28"/>
      <c r="AQP27" s="55"/>
      <c r="AQQ27" s="53"/>
      <c r="AQU27" s="28"/>
      <c r="AQW27" s="55"/>
      <c r="AQX27" s="53"/>
      <c r="ARB27" s="28"/>
      <c r="ARD27" s="55"/>
      <c r="ARE27" s="53"/>
      <c r="ARI27" s="28"/>
      <c r="ARK27" s="55"/>
      <c r="ARL27" s="53"/>
      <c r="ARP27" s="28"/>
      <c r="ARR27" s="55"/>
      <c r="ARS27" s="53"/>
      <c r="ARW27" s="28"/>
      <c r="ARY27" s="55"/>
      <c r="ARZ27" s="53"/>
      <c r="ASD27" s="28"/>
      <c r="ASF27" s="55"/>
      <c r="ASG27" s="53"/>
      <c r="ASK27" s="28"/>
      <c r="ASM27" s="55"/>
      <c r="ASN27" s="53"/>
      <c r="ASR27" s="28"/>
      <c r="AST27" s="55"/>
      <c r="ASU27" s="53"/>
      <c r="ASY27" s="28"/>
      <c r="ATA27" s="55"/>
      <c r="ATB27" s="53"/>
      <c r="ATF27" s="28"/>
      <c r="ATH27" s="55"/>
      <c r="ATI27" s="53"/>
      <c r="ATM27" s="28"/>
      <c r="ATO27" s="55"/>
      <c r="ATP27" s="53"/>
      <c r="ATT27" s="28"/>
      <c r="ATV27" s="55"/>
      <c r="ATW27" s="53"/>
      <c r="AUA27" s="28"/>
      <c r="AUC27" s="55"/>
      <c r="AUD27" s="53"/>
      <c r="AUH27" s="28"/>
      <c r="AUJ27" s="55"/>
      <c r="AUK27" s="53"/>
      <c r="AUO27" s="28"/>
      <c r="AUQ27" s="55"/>
      <c r="AUR27" s="53"/>
      <c r="AUV27" s="28"/>
      <c r="AUX27" s="55"/>
      <c r="AUY27" s="53"/>
      <c r="AVC27" s="28"/>
      <c r="AVE27" s="55"/>
      <c r="AVF27" s="53"/>
      <c r="AVJ27" s="28"/>
      <c r="AVL27" s="55"/>
      <c r="AVM27" s="53"/>
      <c r="AVQ27" s="28"/>
      <c r="AVS27" s="55"/>
      <c r="AVT27" s="53"/>
      <c r="AVX27" s="28"/>
      <c r="AVZ27" s="55"/>
      <c r="AWA27" s="53"/>
      <c r="AWE27" s="28"/>
      <c r="AWG27" s="55"/>
      <c r="AWH27" s="53"/>
      <c r="AWL27" s="28"/>
      <c r="AWN27" s="55"/>
      <c r="AWO27" s="53"/>
      <c r="AWS27" s="28"/>
      <c r="AWU27" s="55"/>
      <c r="AWV27" s="53"/>
      <c r="AWZ27" s="28"/>
      <c r="AXB27" s="55"/>
      <c r="AXC27" s="53"/>
      <c r="AXG27" s="28"/>
      <c r="AXI27" s="55"/>
      <c r="AXJ27" s="53"/>
      <c r="AXN27" s="28"/>
      <c r="AXP27" s="55"/>
      <c r="AXQ27" s="53"/>
      <c r="AXU27" s="28"/>
      <c r="AXW27" s="55"/>
      <c r="AXX27" s="53"/>
      <c r="AYB27" s="28"/>
      <c r="AYD27" s="55"/>
      <c r="AYE27" s="53"/>
      <c r="AYI27" s="28"/>
      <c r="AYK27" s="55"/>
      <c r="AYL27" s="53"/>
      <c r="AYP27" s="28"/>
      <c r="AYR27" s="55"/>
      <c r="AYS27" s="53"/>
      <c r="AYW27" s="28"/>
      <c r="AYY27" s="55"/>
      <c r="AYZ27" s="53"/>
      <c r="AZD27" s="28"/>
      <c r="AZF27" s="55"/>
      <c r="AZG27" s="53"/>
      <c r="AZK27" s="28"/>
      <c r="AZM27" s="55"/>
      <c r="AZN27" s="53"/>
      <c r="AZR27" s="28"/>
      <c r="AZT27" s="55"/>
      <c r="AZU27" s="53"/>
      <c r="AZY27" s="28"/>
      <c r="BAA27" s="55"/>
      <c r="BAB27" s="53"/>
      <c r="BAF27" s="28"/>
      <c r="BAH27" s="55"/>
      <c r="BAI27" s="53"/>
      <c r="BAM27" s="28"/>
      <c r="BAO27" s="55"/>
      <c r="BAP27" s="53"/>
      <c r="BAT27" s="28"/>
      <c r="BAV27" s="55"/>
      <c r="BAW27" s="53"/>
      <c r="BBA27" s="28"/>
      <c r="BBC27" s="55"/>
      <c r="BBD27" s="53"/>
      <c r="BBH27" s="28"/>
      <c r="BBJ27" s="55"/>
      <c r="BBK27" s="53"/>
      <c r="BBO27" s="28"/>
      <c r="BBQ27" s="55"/>
      <c r="BBR27" s="53"/>
      <c r="BBV27" s="28"/>
      <c r="BBX27" s="55"/>
      <c r="BBY27" s="53"/>
      <c r="BCC27" s="28"/>
      <c r="BCE27" s="55"/>
      <c r="BCF27" s="53"/>
      <c r="BCJ27" s="28"/>
      <c r="BCL27" s="55"/>
      <c r="BCM27" s="53"/>
      <c r="BCQ27" s="28"/>
      <c r="BCS27" s="55"/>
      <c r="BCT27" s="53"/>
      <c r="BCX27" s="28"/>
      <c r="BCZ27" s="55"/>
      <c r="BDA27" s="53"/>
      <c r="BDE27" s="28"/>
      <c r="BDG27" s="55"/>
      <c r="BDH27" s="53"/>
      <c r="BDL27" s="28"/>
      <c r="BDN27" s="55"/>
      <c r="BDO27" s="53"/>
      <c r="BDS27" s="28"/>
      <c r="BDU27" s="55"/>
      <c r="BDV27" s="53"/>
      <c r="BDZ27" s="28"/>
      <c r="BEB27" s="55"/>
      <c r="BEC27" s="53"/>
      <c r="BEG27" s="28"/>
      <c r="BEI27" s="55"/>
      <c r="BEJ27" s="53"/>
      <c r="BEN27" s="28"/>
      <c r="BEP27" s="55"/>
      <c r="BEQ27" s="53"/>
      <c r="BEU27" s="28"/>
      <c r="BEW27" s="55"/>
      <c r="BEX27" s="53"/>
      <c r="BFB27" s="28"/>
      <c r="BFD27" s="55"/>
      <c r="BFE27" s="53"/>
      <c r="BFI27" s="28"/>
      <c r="BFK27" s="55"/>
      <c r="BFL27" s="53"/>
      <c r="BFP27" s="28"/>
      <c r="BFR27" s="55"/>
      <c r="BFS27" s="53"/>
      <c r="BFW27" s="28"/>
      <c r="BFY27" s="55"/>
      <c r="BFZ27" s="53"/>
      <c r="BGD27" s="28"/>
      <c r="BGF27" s="55"/>
      <c r="BGG27" s="53"/>
      <c r="BGK27" s="28"/>
      <c r="BGM27" s="55"/>
      <c r="BGN27" s="53"/>
      <c r="BGR27" s="28"/>
      <c r="BGT27" s="55"/>
      <c r="BGU27" s="53"/>
      <c r="BGY27" s="28"/>
      <c r="BHA27" s="55"/>
      <c r="BHB27" s="53"/>
      <c r="BHF27" s="28"/>
      <c r="BHH27" s="55"/>
      <c r="BHI27" s="53"/>
      <c r="BHM27" s="28"/>
      <c r="BHO27" s="55"/>
      <c r="BHP27" s="53"/>
      <c r="BHT27" s="28"/>
      <c r="BHV27" s="55"/>
      <c r="BHW27" s="53"/>
      <c r="BIA27" s="28"/>
      <c r="BIC27" s="55"/>
      <c r="BID27" s="53"/>
      <c r="BIH27" s="28"/>
      <c r="BIJ27" s="55"/>
      <c r="BIK27" s="53"/>
      <c r="BIO27" s="28"/>
      <c r="BIQ27" s="55"/>
      <c r="BIR27" s="53"/>
      <c r="BIV27" s="28"/>
      <c r="BIX27" s="55"/>
      <c r="BIY27" s="53"/>
      <c r="BJC27" s="28"/>
      <c r="BJE27" s="55"/>
      <c r="BJF27" s="53"/>
      <c r="BJJ27" s="28"/>
      <c r="BJL27" s="55"/>
      <c r="BJM27" s="53"/>
      <c r="BJQ27" s="28"/>
      <c r="BJS27" s="55"/>
      <c r="BJT27" s="53"/>
      <c r="BJX27" s="28"/>
      <c r="BJZ27" s="55"/>
      <c r="BKA27" s="53"/>
      <c r="BKE27" s="28"/>
      <c r="BKG27" s="55"/>
      <c r="BKH27" s="53"/>
      <c r="BKL27" s="28"/>
      <c r="BKN27" s="55"/>
      <c r="BKO27" s="53"/>
      <c r="BKS27" s="28"/>
      <c r="BKU27" s="55"/>
      <c r="BKV27" s="53"/>
      <c r="BKZ27" s="28"/>
      <c r="BLB27" s="55"/>
      <c r="BLC27" s="53"/>
      <c r="BLG27" s="28"/>
      <c r="BLI27" s="55"/>
      <c r="BLJ27" s="53"/>
      <c r="BLN27" s="28"/>
      <c r="BLP27" s="55"/>
      <c r="BLQ27" s="53"/>
      <c r="BLU27" s="28"/>
      <c r="BLW27" s="55"/>
      <c r="BLX27" s="53"/>
      <c r="BMB27" s="28"/>
      <c r="BMD27" s="55"/>
      <c r="BME27" s="53"/>
      <c r="BMI27" s="28"/>
      <c r="BMK27" s="55"/>
      <c r="BML27" s="53"/>
      <c r="BMP27" s="28"/>
      <c r="BMR27" s="55"/>
      <c r="BMS27" s="53"/>
      <c r="BMW27" s="28"/>
      <c r="BMY27" s="55"/>
      <c r="BMZ27" s="53"/>
      <c r="BND27" s="28"/>
      <c r="BNF27" s="55"/>
      <c r="BNG27" s="53"/>
      <c r="BNK27" s="28"/>
      <c r="BNM27" s="55"/>
      <c r="BNN27" s="53"/>
      <c r="BNR27" s="28"/>
      <c r="BNT27" s="55"/>
      <c r="BNU27" s="53"/>
      <c r="BNY27" s="28"/>
      <c r="BOA27" s="55"/>
      <c r="BOB27" s="53"/>
      <c r="BOF27" s="28"/>
      <c r="BOH27" s="55"/>
      <c r="BOI27" s="53"/>
      <c r="BOM27" s="28"/>
      <c r="BOO27" s="55"/>
      <c r="BOP27" s="53"/>
      <c r="BOT27" s="28"/>
      <c r="BOV27" s="55"/>
      <c r="BOW27" s="53"/>
      <c r="BPA27" s="28"/>
      <c r="BPC27" s="55"/>
      <c r="BPD27" s="53"/>
      <c r="BPH27" s="28"/>
      <c r="BPJ27" s="55"/>
      <c r="BPK27" s="53"/>
      <c r="BPO27" s="28"/>
      <c r="BPQ27" s="55"/>
      <c r="BPR27" s="53"/>
      <c r="BPV27" s="28"/>
      <c r="BPX27" s="55"/>
      <c r="BPY27" s="53"/>
      <c r="BQC27" s="28"/>
      <c r="BQE27" s="55"/>
      <c r="BQF27" s="53"/>
      <c r="BQJ27" s="28"/>
      <c r="BQL27" s="55"/>
      <c r="BQM27" s="53"/>
      <c r="BQQ27" s="28"/>
      <c r="BQS27" s="55"/>
      <c r="BQT27" s="53"/>
      <c r="BQX27" s="28"/>
      <c r="BQZ27" s="55"/>
      <c r="BRA27" s="53"/>
      <c r="BRE27" s="28"/>
      <c r="BRG27" s="55"/>
      <c r="BRH27" s="53"/>
      <c r="BRL27" s="28"/>
      <c r="BRN27" s="55"/>
      <c r="BRO27" s="53"/>
      <c r="BRS27" s="28"/>
      <c r="BRU27" s="55"/>
      <c r="BRV27" s="53"/>
      <c r="BRZ27" s="28"/>
      <c r="BSB27" s="55"/>
      <c r="BSC27" s="53"/>
      <c r="BSG27" s="28"/>
      <c r="BSI27" s="55"/>
      <c r="BSJ27" s="53"/>
      <c r="BSN27" s="28"/>
      <c r="BSP27" s="55"/>
      <c r="BSQ27" s="53"/>
      <c r="BSU27" s="28"/>
      <c r="BSW27" s="55"/>
      <c r="BSX27" s="53"/>
      <c r="BTB27" s="28"/>
      <c r="BTD27" s="55"/>
      <c r="BTE27" s="53"/>
      <c r="BTI27" s="28"/>
      <c r="BTK27" s="55"/>
      <c r="BTL27" s="53"/>
      <c r="BTP27" s="28"/>
      <c r="BTR27" s="55"/>
      <c r="BTS27" s="53"/>
      <c r="BTW27" s="28"/>
      <c r="BTY27" s="55"/>
      <c r="BTZ27" s="53"/>
      <c r="BUD27" s="28"/>
      <c r="BUF27" s="55"/>
      <c r="BUG27" s="53"/>
      <c r="BUK27" s="28"/>
      <c r="BUM27" s="55"/>
      <c r="BUN27" s="53"/>
      <c r="BUR27" s="28"/>
      <c r="BUT27" s="55"/>
      <c r="BUU27" s="53"/>
      <c r="BUY27" s="28"/>
      <c r="BVA27" s="55"/>
      <c r="BVB27" s="53"/>
      <c r="BVF27" s="28"/>
      <c r="BVH27" s="55"/>
      <c r="BVI27" s="53"/>
      <c r="BVM27" s="28"/>
      <c r="BVO27" s="55"/>
      <c r="BVP27" s="53"/>
      <c r="BVT27" s="28"/>
      <c r="BVV27" s="55"/>
      <c r="BVW27" s="53"/>
      <c r="BWA27" s="28"/>
      <c r="BWC27" s="55"/>
      <c r="BWD27" s="53"/>
      <c r="BWH27" s="28"/>
      <c r="BWJ27" s="55"/>
      <c r="BWK27" s="53"/>
      <c r="BWO27" s="28"/>
      <c r="BWQ27" s="55"/>
      <c r="BWR27" s="53"/>
      <c r="BWV27" s="28"/>
      <c r="BWX27" s="55"/>
      <c r="BWY27" s="53"/>
      <c r="BXC27" s="28"/>
      <c r="BXE27" s="55"/>
      <c r="BXF27" s="53"/>
      <c r="BXJ27" s="28"/>
      <c r="BXL27" s="55"/>
      <c r="BXM27" s="53"/>
      <c r="BXQ27" s="28"/>
      <c r="BXS27" s="55"/>
      <c r="BXT27" s="53"/>
      <c r="BXX27" s="28"/>
      <c r="BXZ27" s="55"/>
      <c r="BYA27" s="53"/>
      <c r="BYE27" s="28"/>
      <c r="BYG27" s="55"/>
      <c r="BYH27" s="53"/>
      <c r="BYL27" s="28"/>
      <c r="BYN27" s="55"/>
      <c r="BYO27" s="53"/>
      <c r="BYS27" s="28"/>
      <c r="BYU27" s="55"/>
      <c r="BYV27" s="53"/>
      <c r="BYZ27" s="28"/>
      <c r="BZB27" s="55"/>
      <c r="BZC27" s="53"/>
      <c r="BZG27" s="28"/>
      <c r="BZI27" s="55"/>
      <c r="BZJ27" s="53"/>
      <c r="BZN27" s="28"/>
      <c r="BZP27" s="55"/>
      <c r="BZQ27" s="53"/>
      <c r="BZU27" s="28"/>
      <c r="BZW27" s="55"/>
      <c r="BZX27" s="53"/>
      <c r="CAB27" s="28"/>
      <c r="CAD27" s="55"/>
      <c r="CAE27" s="53"/>
      <c r="CAI27" s="28"/>
      <c r="CAK27" s="55"/>
      <c r="CAL27" s="53"/>
      <c r="CAP27" s="28"/>
      <c r="CAR27" s="55"/>
      <c r="CAS27" s="53"/>
      <c r="CAW27" s="28"/>
      <c r="CAY27" s="55"/>
      <c r="CAZ27" s="53"/>
      <c r="CBD27" s="28"/>
      <c r="CBF27" s="55"/>
      <c r="CBG27" s="53"/>
      <c r="CBK27" s="28"/>
      <c r="CBM27" s="55"/>
      <c r="CBN27" s="53"/>
      <c r="CBR27" s="28"/>
      <c r="CBT27" s="55"/>
      <c r="CBU27" s="53"/>
      <c r="CBY27" s="28"/>
      <c r="CCA27" s="55"/>
      <c r="CCB27" s="53"/>
      <c r="CCF27" s="28"/>
      <c r="CCH27" s="55"/>
      <c r="CCI27" s="53"/>
      <c r="CCM27" s="28"/>
      <c r="CCO27" s="55"/>
      <c r="CCP27" s="53"/>
      <c r="CCT27" s="28"/>
      <c r="CCV27" s="55"/>
      <c r="CCW27" s="53"/>
      <c r="CDA27" s="28"/>
      <c r="CDC27" s="55"/>
      <c r="CDD27" s="53"/>
      <c r="CDH27" s="28"/>
      <c r="CDJ27" s="55"/>
      <c r="CDK27" s="53"/>
      <c r="CDO27" s="28"/>
      <c r="CDQ27" s="55"/>
      <c r="CDR27" s="53"/>
      <c r="CDV27" s="28"/>
      <c r="CDX27" s="55"/>
      <c r="CDY27" s="53"/>
      <c r="CEC27" s="28"/>
      <c r="CEE27" s="55"/>
      <c r="CEF27" s="53"/>
      <c r="CEJ27" s="28"/>
      <c r="CEL27" s="55"/>
      <c r="CEM27" s="53"/>
      <c r="CEQ27" s="28"/>
      <c r="CES27" s="55"/>
      <c r="CET27" s="53"/>
      <c r="CEX27" s="28"/>
      <c r="CEZ27" s="55"/>
      <c r="CFA27" s="53"/>
      <c r="CFE27" s="28"/>
      <c r="CFG27" s="55"/>
      <c r="CFH27" s="53"/>
      <c r="CFL27" s="28"/>
      <c r="CFN27" s="55"/>
      <c r="CFO27" s="53"/>
      <c r="CFS27" s="28"/>
      <c r="CFU27" s="55"/>
      <c r="CFV27" s="53"/>
      <c r="CFZ27" s="28"/>
      <c r="CGB27" s="55"/>
      <c r="CGC27" s="53"/>
      <c r="CGG27" s="28"/>
      <c r="CGI27" s="55"/>
      <c r="CGJ27" s="53"/>
      <c r="CGN27" s="28"/>
      <c r="CGP27" s="55"/>
      <c r="CGQ27" s="53"/>
      <c r="CGU27" s="28"/>
      <c r="CGW27" s="55"/>
      <c r="CGX27" s="53"/>
      <c r="CHB27" s="28"/>
      <c r="CHD27" s="55"/>
      <c r="CHE27" s="53"/>
      <c r="CHI27" s="28"/>
      <c r="CHK27" s="55"/>
      <c r="CHL27" s="53"/>
      <c r="CHP27" s="28"/>
      <c r="CHR27" s="55"/>
      <c r="CHS27" s="53"/>
      <c r="CHW27" s="28"/>
      <c r="CHY27" s="55"/>
      <c r="CHZ27" s="53"/>
      <c r="CID27" s="28"/>
      <c r="CIF27" s="55"/>
      <c r="CIG27" s="53"/>
      <c r="CIK27" s="28"/>
      <c r="CIM27" s="55"/>
      <c r="CIN27" s="53"/>
      <c r="CIR27" s="28"/>
      <c r="CIT27" s="55"/>
      <c r="CIU27" s="53"/>
      <c r="CIY27" s="28"/>
      <c r="CJA27" s="55"/>
      <c r="CJB27" s="53"/>
      <c r="CJF27" s="28"/>
      <c r="CJH27" s="55"/>
      <c r="CJI27" s="53"/>
      <c r="CJM27" s="28"/>
      <c r="CJO27" s="55"/>
      <c r="CJP27" s="53"/>
      <c r="CJT27" s="28"/>
      <c r="CJV27" s="55"/>
      <c r="CJW27" s="53"/>
      <c r="CKA27" s="28"/>
      <c r="CKC27" s="55"/>
      <c r="CKD27" s="53"/>
      <c r="CKH27" s="28"/>
      <c r="CKJ27" s="55"/>
      <c r="CKK27" s="53"/>
      <c r="CKO27" s="28"/>
      <c r="CKQ27" s="55"/>
      <c r="CKR27" s="53"/>
      <c r="CKV27" s="28"/>
      <c r="CKX27" s="55"/>
      <c r="CKY27" s="53"/>
      <c r="CLC27" s="28"/>
      <c r="CLE27" s="55"/>
      <c r="CLF27" s="53"/>
      <c r="CLJ27" s="28"/>
      <c r="CLL27" s="55"/>
      <c r="CLM27" s="53"/>
      <c r="CLQ27" s="28"/>
      <c r="CLS27" s="55"/>
      <c r="CLT27" s="53"/>
      <c r="CLX27" s="28"/>
      <c r="CLZ27" s="55"/>
      <c r="CMA27" s="53"/>
      <c r="CME27" s="28"/>
      <c r="CMG27" s="55"/>
      <c r="CMH27" s="53"/>
      <c r="CML27" s="28"/>
      <c r="CMN27" s="55"/>
      <c r="CMO27" s="53"/>
      <c r="CMS27" s="28"/>
      <c r="CMU27" s="55"/>
      <c r="CMV27" s="53"/>
      <c r="CMZ27" s="28"/>
      <c r="CNB27" s="55"/>
      <c r="CNC27" s="53"/>
      <c r="CNG27" s="28"/>
      <c r="CNI27" s="55"/>
      <c r="CNJ27" s="53"/>
      <c r="CNN27" s="28"/>
      <c r="CNP27" s="55"/>
      <c r="CNQ27" s="53"/>
      <c r="CNU27" s="28"/>
      <c r="CNW27" s="55"/>
      <c r="CNX27" s="53"/>
      <c r="COB27" s="28"/>
      <c r="COD27" s="55"/>
      <c r="COE27" s="53"/>
      <c r="COI27" s="28"/>
      <c r="COK27" s="55"/>
      <c r="COL27" s="53"/>
      <c r="COP27" s="28"/>
      <c r="COR27" s="55"/>
      <c r="COS27" s="53"/>
      <c r="COW27" s="28"/>
      <c r="COY27" s="55"/>
      <c r="COZ27" s="53"/>
      <c r="CPD27" s="28"/>
      <c r="CPF27" s="55"/>
      <c r="CPG27" s="53"/>
      <c r="CPK27" s="28"/>
      <c r="CPM27" s="55"/>
      <c r="CPN27" s="53"/>
      <c r="CPR27" s="28"/>
      <c r="CPT27" s="55"/>
      <c r="CPU27" s="53"/>
      <c r="CPY27" s="28"/>
      <c r="CQA27" s="55"/>
      <c r="CQB27" s="53"/>
      <c r="CQF27" s="28"/>
      <c r="CQH27" s="55"/>
      <c r="CQI27" s="53"/>
      <c r="CQM27" s="28"/>
      <c r="CQO27" s="55"/>
      <c r="CQP27" s="53"/>
      <c r="CQT27" s="28"/>
      <c r="CQV27" s="55"/>
      <c r="CQW27" s="53"/>
      <c r="CRA27" s="28"/>
      <c r="CRC27" s="55"/>
      <c r="CRD27" s="53"/>
      <c r="CRH27" s="28"/>
      <c r="CRJ27" s="55"/>
      <c r="CRK27" s="53"/>
      <c r="CRO27" s="28"/>
      <c r="CRQ27" s="55"/>
      <c r="CRR27" s="53"/>
      <c r="CRV27" s="28"/>
      <c r="CRX27" s="55"/>
      <c r="CRY27" s="53"/>
      <c r="CSC27" s="28"/>
      <c r="CSE27" s="55"/>
      <c r="CSF27" s="53"/>
      <c r="CSJ27" s="28"/>
      <c r="CSL27" s="55"/>
      <c r="CSM27" s="53"/>
      <c r="CSQ27" s="28"/>
      <c r="CSS27" s="55"/>
      <c r="CST27" s="53"/>
      <c r="CSX27" s="28"/>
      <c r="CSZ27" s="55"/>
      <c r="CTA27" s="53"/>
      <c r="CTE27" s="28"/>
      <c r="CTG27" s="55"/>
      <c r="CTH27" s="53"/>
      <c r="CTL27" s="28"/>
      <c r="CTN27" s="55"/>
      <c r="CTO27" s="53"/>
      <c r="CTS27" s="28"/>
      <c r="CTU27" s="55"/>
      <c r="CTV27" s="53"/>
      <c r="CTZ27" s="28"/>
      <c r="CUB27" s="55"/>
      <c r="CUC27" s="53"/>
      <c r="CUG27" s="28"/>
      <c r="CUI27" s="55"/>
      <c r="CUJ27" s="53"/>
      <c r="CUN27" s="28"/>
      <c r="CUP27" s="55"/>
      <c r="CUQ27" s="53"/>
      <c r="CUU27" s="28"/>
      <c r="CUW27" s="55"/>
      <c r="CUX27" s="53"/>
      <c r="CVB27" s="28"/>
      <c r="CVD27" s="55"/>
      <c r="CVE27" s="53"/>
      <c r="CVI27" s="28"/>
      <c r="CVK27" s="55"/>
      <c r="CVL27" s="53"/>
      <c r="CVP27" s="28"/>
      <c r="CVR27" s="55"/>
      <c r="CVS27" s="53"/>
      <c r="CVW27" s="28"/>
      <c r="CVY27" s="55"/>
      <c r="CVZ27" s="53"/>
      <c r="CWD27" s="28"/>
      <c r="CWF27" s="55"/>
      <c r="CWG27" s="53"/>
      <c r="CWK27" s="28"/>
      <c r="CWM27" s="55"/>
      <c r="CWN27" s="53"/>
      <c r="CWR27" s="28"/>
      <c r="CWT27" s="55"/>
      <c r="CWU27" s="53"/>
      <c r="CWY27" s="28"/>
      <c r="CXA27" s="55"/>
      <c r="CXB27" s="53"/>
      <c r="CXF27" s="28"/>
      <c r="CXH27" s="55"/>
      <c r="CXI27" s="53"/>
      <c r="CXM27" s="28"/>
      <c r="CXO27" s="55"/>
      <c r="CXP27" s="53"/>
      <c r="CXT27" s="28"/>
      <c r="CXV27" s="55"/>
      <c r="CXW27" s="53"/>
      <c r="CYA27" s="28"/>
      <c r="CYC27" s="55"/>
      <c r="CYD27" s="53"/>
      <c r="CYH27" s="28"/>
      <c r="CYJ27" s="55"/>
      <c r="CYK27" s="53"/>
      <c r="CYO27" s="28"/>
      <c r="CYQ27" s="55"/>
      <c r="CYR27" s="53"/>
      <c r="CYV27" s="28"/>
      <c r="CYX27" s="55"/>
      <c r="CYY27" s="53"/>
      <c r="CZC27" s="28"/>
      <c r="CZE27" s="55"/>
      <c r="CZF27" s="53"/>
      <c r="CZJ27" s="28"/>
      <c r="CZL27" s="55"/>
      <c r="CZM27" s="53"/>
      <c r="CZQ27" s="28"/>
      <c r="CZS27" s="55"/>
      <c r="CZT27" s="53"/>
      <c r="CZX27" s="28"/>
      <c r="CZZ27" s="55"/>
      <c r="DAA27" s="53"/>
      <c r="DAE27" s="28"/>
      <c r="DAG27" s="55"/>
      <c r="DAH27" s="53"/>
      <c r="DAL27" s="28"/>
      <c r="DAN27" s="55"/>
      <c r="DAO27" s="53"/>
      <c r="DAS27" s="28"/>
      <c r="DAU27" s="55"/>
      <c r="DAV27" s="53"/>
      <c r="DAZ27" s="28"/>
      <c r="DBB27" s="55"/>
      <c r="DBC27" s="53"/>
      <c r="DBG27" s="28"/>
      <c r="DBI27" s="55"/>
      <c r="DBJ27" s="53"/>
      <c r="DBN27" s="28"/>
      <c r="DBP27" s="55"/>
      <c r="DBQ27" s="53"/>
      <c r="DBU27" s="28"/>
      <c r="DBW27" s="55"/>
      <c r="DBX27" s="53"/>
      <c r="DCB27" s="28"/>
      <c r="DCD27" s="55"/>
      <c r="DCE27" s="53"/>
      <c r="DCI27" s="28"/>
      <c r="DCK27" s="55"/>
      <c r="DCL27" s="53"/>
      <c r="DCP27" s="28"/>
      <c r="DCR27" s="55"/>
      <c r="DCS27" s="53"/>
      <c r="DCW27" s="28"/>
      <c r="DCY27" s="55"/>
      <c r="DCZ27" s="53"/>
      <c r="DDD27" s="28"/>
      <c r="DDF27" s="55"/>
      <c r="DDG27" s="53"/>
      <c r="DDK27" s="28"/>
      <c r="DDM27" s="55"/>
      <c r="DDN27" s="53"/>
      <c r="DDR27" s="28"/>
      <c r="DDT27" s="55"/>
      <c r="DDU27" s="53"/>
      <c r="DDY27" s="28"/>
      <c r="DEA27" s="55"/>
      <c r="DEB27" s="53"/>
      <c r="DEF27" s="28"/>
      <c r="DEH27" s="55"/>
      <c r="DEI27" s="53"/>
      <c r="DEM27" s="28"/>
      <c r="DEO27" s="55"/>
      <c r="DEP27" s="53"/>
      <c r="DET27" s="28"/>
      <c r="DEV27" s="55"/>
      <c r="DEW27" s="53"/>
      <c r="DFA27" s="28"/>
      <c r="DFC27" s="55"/>
      <c r="DFD27" s="53"/>
      <c r="DFH27" s="28"/>
      <c r="DFJ27" s="55"/>
      <c r="DFK27" s="53"/>
      <c r="DFO27" s="28"/>
      <c r="DFQ27" s="55"/>
      <c r="DFR27" s="53"/>
      <c r="DFV27" s="28"/>
      <c r="DFX27" s="55"/>
      <c r="DFY27" s="53"/>
      <c r="DGC27" s="28"/>
      <c r="DGE27" s="55"/>
      <c r="DGF27" s="53"/>
      <c r="DGJ27" s="28"/>
      <c r="DGL27" s="55"/>
      <c r="DGM27" s="53"/>
      <c r="DGQ27" s="28"/>
      <c r="DGS27" s="55"/>
      <c r="DGT27" s="53"/>
      <c r="DGX27" s="28"/>
      <c r="DGZ27" s="55"/>
      <c r="DHA27" s="53"/>
      <c r="DHE27" s="28"/>
      <c r="DHG27" s="55"/>
      <c r="DHH27" s="53"/>
      <c r="DHL27" s="28"/>
      <c r="DHN27" s="55"/>
      <c r="DHO27" s="53"/>
      <c r="DHS27" s="28"/>
      <c r="DHU27" s="55"/>
      <c r="DHV27" s="53"/>
      <c r="DHZ27" s="28"/>
      <c r="DIB27" s="55"/>
      <c r="DIC27" s="53"/>
      <c r="DIG27" s="28"/>
      <c r="DII27" s="55"/>
      <c r="DIJ27" s="53"/>
      <c r="DIN27" s="28"/>
      <c r="DIP27" s="55"/>
      <c r="DIQ27" s="53"/>
      <c r="DIU27" s="28"/>
      <c r="DIW27" s="55"/>
      <c r="DIX27" s="53"/>
      <c r="DJB27" s="28"/>
      <c r="DJD27" s="55"/>
      <c r="DJE27" s="53"/>
      <c r="DJI27" s="28"/>
      <c r="DJK27" s="55"/>
      <c r="DJL27" s="53"/>
      <c r="DJP27" s="28"/>
      <c r="DJR27" s="55"/>
      <c r="DJS27" s="53"/>
      <c r="DJW27" s="28"/>
      <c r="DJY27" s="55"/>
      <c r="DJZ27" s="53"/>
      <c r="DKD27" s="28"/>
      <c r="DKF27" s="55"/>
      <c r="DKG27" s="53"/>
      <c r="DKK27" s="28"/>
      <c r="DKM27" s="55"/>
      <c r="DKN27" s="53"/>
      <c r="DKR27" s="28"/>
      <c r="DKT27" s="55"/>
      <c r="DKU27" s="53"/>
      <c r="DKY27" s="28"/>
      <c r="DLA27" s="55"/>
      <c r="DLB27" s="53"/>
      <c r="DLF27" s="28"/>
      <c r="DLH27" s="55"/>
      <c r="DLI27" s="53"/>
      <c r="DLM27" s="28"/>
      <c r="DLO27" s="55"/>
      <c r="DLP27" s="53"/>
      <c r="DLT27" s="28"/>
      <c r="DLV27" s="55"/>
      <c r="DLW27" s="53"/>
      <c r="DMA27" s="28"/>
      <c r="DMC27" s="55"/>
      <c r="DMD27" s="53"/>
      <c r="DMH27" s="28"/>
      <c r="DMJ27" s="55"/>
      <c r="DMK27" s="53"/>
      <c r="DMO27" s="28"/>
      <c r="DMQ27" s="55"/>
      <c r="DMR27" s="53"/>
      <c r="DMV27" s="28"/>
      <c r="DMX27" s="55"/>
      <c r="DMY27" s="53"/>
      <c r="DNC27" s="28"/>
      <c r="DNE27" s="55"/>
      <c r="DNF27" s="53"/>
      <c r="DNJ27" s="28"/>
      <c r="DNL27" s="55"/>
      <c r="DNM27" s="53"/>
      <c r="DNQ27" s="28"/>
      <c r="DNS27" s="55"/>
      <c r="DNT27" s="53"/>
      <c r="DNX27" s="28"/>
      <c r="DNZ27" s="55"/>
      <c r="DOA27" s="53"/>
      <c r="DOE27" s="28"/>
      <c r="DOG27" s="55"/>
      <c r="DOH27" s="53"/>
      <c r="DOL27" s="28"/>
      <c r="DON27" s="55"/>
      <c r="DOO27" s="53"/>
      <c r="DOS27" s="28"/>
      <c r="DOU27" s="55"/>
      <c r="DOV27" s="53"/>
      <c r="DOZ27" s="28"/>
      <c r="DPB27" s="55"/>
      <c r="DPC27" s="53"/>
      <c r="DPG27" s="28"/>
      <c r="DPI27" s="55"/>
      <c r="DPJ27" s="53"/>
      <c r="DPN27" s="28"/>
      <c r="DPP27" s="55"/>
      <c r="DPQ27" s="53"/>
      <c r="DPU27" s="28"/>
      <c r="DPW27" s="55"/>
      <c r="DPX27" s="53"/>
      <c r="DQB27" s="28"/>
      <c r="DQD27" s="55"/>
      <c r="DQE27" s="53"/>
      <c r="DQI27" s="28"/>
      <c r="DQK27" s="55"/>
      <c r="DQL27" s="53"/>
      <c r="DQP27" s="28"/>
      <c r="DQR27" s="55"/>
      <c r="DQS27" s="53"/>
      <c r="DQW27" s="28"/>
      <c r="DQY27" s="55"/>
      <c r="DQZ27" s="53"/>
      <c r="DRD27" s="28"/>
      <c r="DRF27" s="55"/>
      <c r="DRG27" s="53"/>
      <c r="DRK27" s="28"/>
      <c r="DRM27" s="55"/>
      <c r="DRN27" s="53"/>
      <c r="DRR27" s="28"/>
      <c r="DRT27" s="55"/>
      <c r="DRU27" s="53"/>
      <c r="DRY27" s="28"/>
      <c r="DSA27" s="55"/>
      <c r="DSB27" s="53"/>
      <c r="DSF27" s="28"/>
      <c r="DSH27" s="55"/>
      <c r="DSI27" s="53"/>
      <c r="DSM27" s="28"/>
      <c r="DSO27" s="55"/>
      <c r="DSP27" s="53"/>
      <c r="DST27" s="28"/>
      <c r="DSV27" s="55"/>
      <c r="DSW27" s="53"/>
      <c r="DTA27" s="28"/>
      <c r="DTC27" s="55"/>
      <c r="DTD27" s="53"/>
      <c r="DTH27" s="28"/>
      <c r="DTJ27" s="55"/>
      <c r="DTK27" s="53"/>
      <c r="DTO27" s="28"/>
      <c r="DTQ27" s="55"/>
      <c r="DTR27" s="53"/>
      <c r="DTV27" s="28"/>
      <c r="DTX27" s="55"/>
      <c r="DTY27" s="53"/>
      <c r="DUC27" s="28"/>
      <c r="DUE27" s="55"/>
      <c r="DUF27" s="53"/>
      <c r="DUJ27" s="28"/>
      <c r="DUL27" s="55"/>
      <c r="DUM27" s="53"/>
      <c r="DUQ27" s="28"/>
      <c r="DUS27" s="55"/>
      <c r="DUT27" s="53"/>
      <c r="DUX27" s="28"/>
      <c r="DUZ27" s="55"/>
      <c r="DVA27" s="53"/>
      <c r="DVE27" s="28"/>
      <c r="DVG27" s="55"/>
      <c r="DVH27" s="53"/>
      <c r="DVL27" s="28"/>
      <c r="DVN27" s="55"/>
      <c r="DVO27" s="53"/>
      <c r="DVS27" s="28"/>
      <c r="DVU27" s="55"/>
      <c r="DVV27" s="53"/>
      <c r="DVZ27" s="28"/>
      <c r="DWB27" s="55"/>
      <c r="DWC27" s="53"/>
      <c r="DWG27" s="28"/>
      <c r="DWI27" s="55"/>
      <c r="DWJ27" s="53"/>
      <c r="DWN27" s="28"/>
      <c r="DWP27" s="55"/>
      <c r="DWQ27" s="53"/>
      <c r="DWU27" s="28"/>
      <c r="DWW27" s="55"/>
      <c r="DWX27" s="53"/>
      <c r="DXB27" s="28"/>
      <c r="DXD27" s="55"/>
      <c r="DXE27" s="53"/>
      <c r="DXI27" s="28"/>
      <c r="DXK27" s="55"/>
      <c r="DXL27" s="53"/>
      <c r="DXP27" s="28"/>
      <c r="DXR27" s="55"/>
      <c r="DXS27" s="53"/>
      <c r="DXW27" s="28"/>
      <c r="DXY27" s="55"/>
      <c r="DXZ27" s="53"/>
      <c r="DYD27" s="28"/>
      <c r="DYF27" s="55"/>
      <c r="DYG27" s="53"/>
      <c r="DYK27" s="28"/>
      <c r="DYM27" s="55"/>
      <c r="DYN27" s="53"/>
      <c r="DYR27" s="28"/>
      <c r="DYT27" s="55"/>
      <c r="DYU27" s="53"/>
      <c r="DYY27" s="28"/>
      <c r="DZA27" s="55"/>
      <c r="DZB27" s="53"/>
      <c r="DZF27" s="28"/>
      <c r="DZH27" s="55"/>
      <c r="DZI27" s="53"/>
      <c r="DZM27" s="28"/>
      <c r="DZO27" s="55"/>
      <c r="DZP27" s="53"/>
      <c r="DZT27" s="28"/>
      <c r="DZV27" s="55"/>
      <c r="DZW27" s="53"/>
      <c r="EAA27" s="28"/>
      <c r="EAC27" s="55"/>
      <c r="EAD27" s="53"/>
      <c r="EAH27" s="28"/>
      <c r="EAJ27" s="55"/>
      <c r="EAK27" s="53"/>
      <c r="EAO27" s="28"/>
      <c r="EAQ27" s="55"/>
      <c r="EAR27" s="53"/>
      <c r="EAV27" s="28"/>
      <c r="EAX27" s="55"/>
      <c r="EAY27" s="53"/>
      <c r="EBC27" s="28"/>
      <c r="EBE27" s="55"/>
      <c r="EBF27" s="53"/>
      <c r="EBJ27" s="28"/>
      <c r="EBL27" s="55"/>
      <c r="EBM27" s="53"/>
      <c r="EBQ27" s="28"/>
      <c r="EBS27" s="55"/>
      <c r="EBT27" s="53"/>
      <c r="EBX27" s="28"/>
      <c r="EBZ27" s="55"/>
      <c r="ECA27" s="53"/>
      <c r="ECE27" s="28"/>
      <c r="ECG27" s="55"/>
      <c r="ECH27" s="53"/>
      <c r="ECL27" s="28"/>
      <c r="ECN27" s="55"/>
      <c r="ECO27" s="53"/>
      <c r="ECS27" s="28"/>
      <c r="ECU27" s="55"/>
      <c r="ECV27" s="53"/>
      <c r="ECZ27" s="28"/>
      <c r="EDB27" s="55"/>
      <c r="EDC27" s="53"/>
      <c r="EDG27" s="28"/>
      <c r="EDI27" s="55"/>
      <c r="EDJ27" s="53"/>
      <c r="EDN27" s="28"/>
      <c r="EDP27" s="55"/>
      <c r="EDQ27" s="53"/>
      <c r="EDU27" s="28"/>
      <c r="EDW27" s="55"/>
      <c r="EDX27" s="53"/>
      <c r="EEB27" s="28"/>
      <c r="EED27" s="55"/>
      <c r="EEE27" s="53"/>
      <c r="EEI27" s="28"/>
      <c r="EEK27" s="55"/>
      <c r="EEL27" s="53"/>
      <c r="EEP27" s="28"/>
      <c r="EER27" s="55"/>
      <c r="EES27" s="53"/>
      <c r="EEW27" s="28"/>
      <c r="EEY27" s="55"/>
      <c r="EEZ27" s="53"/>
      <c r="EFD27" s="28"/>
      <c r="EFF27" s="55"/>
      <c r="EFG27" s="53"/>
      <c r="EFK27" s="28"/>
      <c r="EFM27" s="55"/>
      <c r="EFN27" s="53"/>
      <c r="EFR27" s="28"/>
      <c r="EFT27" s="55"/>
      <c r="EFU27" s="53"/>
      <c r="EFY27" s="28"/>
      <c r="EGA27" s="55"/>
      <c r="EGB27" s="53"/>
      <c r="EGF27" s="28"/>
      <c r="EGH27" s="55"/>
      <c r="EGI27" s="53"/>
      <c r="EGM27" s="28"/>
      <c r="EGO27" s="55"/>
      <c r="EGP27" s="53"/>
      <c r="EGT27" s="28"/>
      <c r="EGV27" s="55"/>
      <c r="EGW27" s="53"/>
      <c r="EHA27" s="28"/>
      <c r="EHC27" s="55"/>
      <c r="EHD27" s="53"/>
      <c r="EHH27" s="28"/>
      <c r="EHJ27" s="55"/>
      <c r="EHK27" s="53"/>
      <c r="EHO27" s="28"/>
      <c r="EHQ27" s="55"/>
      <c r="EHR27" s="53"/>
      <c r="EHV27" s="28"/>
      <c r="EHX27" s="55"/>
      <c r="EHY27" s="53"/>
      <c r="EIC27" s="28"/>
      <c r="EIE27" s="55"/>
      <c r="EIF27" s="53"/>
      <c r="EIJ27" s="28"/>
      <c r="EIL27" s="55"/>
      <c r="EIM27" s="53"/>
      <c r="EIQ27" s="28"/>
      <c r="EIS27" s="55"/>
      <c r="EIT27" s="53"/>
      <c r="EIX27" s="28"/>
      <c r="EIZ27" s="55"/>
      <c r="EJA27" s="53"/>
      <c r="EJE27" s="28"/>
      <c r="EJG27" s="55"/>
      <c r="EJH27" s="53"/>
      <c r="EJL27" s="28"/>
      <c r="EJN27" s="55"/>
      <c r="EJO27" s="53"/>
      <c r="EJS27" s="28"/>
      <c r="EJU27" s="55"/>
      <c r="EJV27" s="53"/>
      <c r="EJZ27" s="28"/>
      <c r="EKB27" s="55"/>
      <c r="EKC27" s="53"/>
      <c r="EKG27" s="28"/>
      <c r="EKI27" s="55"/>
      <c r="EKJ27" s="53"/>
      <c r="EKN27" s="28"/>
      <c r="EKP27" s="55"/>
      <c r="EKQ27" s="53"/>
      <c r="EKU27" s="28"/>
      <c r="EKW27" s="55"/>
      <c r="EKX27" s="53"/>
      <c r="ELB27" s="28"/>
      <c r="ELD27" s="55"/>
      <c r="ELE27" s="53"/>
      <c r="ELI27" s="28"/>
      <c r="ELK27" s="55"/>
      <c r="ELL27" s="53"/>
      <c r="ELP27" s="28"/>
      <c r="ELR27" s="55"/>
      <c r="ELS27" s="53"/>
      <c r="ELW27" s="28"/>
      <c r="ELY27" s="55"/>
      <c r="ELZ27" s="53"/>
      <c r="EMD27" s="28"/>
      <c r="EMF27" s="55"/>
      <c r="EMG27" s="53"/>
      <c r="EMK27" s="28"/>
      <c r="EMM27" s="55"/>
      <c r="EMN27" s="53"/>
      <c r="EMR27" s="28"/>
      <c r="EMT27" s="55"/>
      <c r="EMU27" s="53"/>
      <c r="EMY27" s="28"/>
      <c r="ENA27" s="55"/>
      <c r="ENB27" s="53"/>
      <c r="ENF27" s="28"/>
      <c r="ENH27" s="55"/>
      <c r="ENI27" s="53"/>
      <c r="ENM27" s="28"/>
      <c r="ENO27" s="55"/>
      <c r="ENP27" s="53"/>
      <c r="ENT27" s="28"/>
      <c r="ENV27" s="55"/>
      <c r="ENW27" s="53"/>
      <c r="EOA27" s="28"/>
      <c r="EOC27" s="55"/>
      <c r="EOD27" s="53"/>
      <c r="EOH27" s="28"/>
      <c r="EOJ27" s="55"/>
      <c r="EOK27" s="53"/>
      <c r="EOO27" s="28"/>
      <c r="EOQ27" s="55"/>
      <c r="EOR27" s="53"/>
      <c r="EOV27" s="28"/>
      <c r="EOX27" s="55"/>
      <c r="EOY27" s="53"/>
      <c r="EPC27" s="28"/>
      <c r="EPE27" s="55"/>
      <c r="EPF27" s="53"/>
      <c r="EPJ27" s="28"/>
      <c r="EPL27" s="55"/>
      <c r="EPM27" s="53"/>
      <c r="EPQ27" s="28"/>
      <c r="EPS27" s="55"/>
      <c r="EPT27" s="53"/>
      <c r="EPX27" s="28"/>
      <c r="EPZ27" s="55"/>
      <c r="EQA27" s="53"/>
      <c r="EQE27" s="28"/>
      <c r="EQG27" s="55"/>
      <c r="EQH27" s="53"/>
      <c r="EQL27" s="28"/>
      <c r="EQN27" s="55"/>
      <c r="EQO27" s="53"/>
      <c r="EQS27" s="28"/>
      <c r="EQU27" s="55"/>
      <c r="EQV27" s="53"/>
      <c r="EQZ27" s="28"/>
      <c r="ERB27" s="55"/>
      <c r="ERC27" s="53"/>
      <c r="ERG27" s="28"/>
      <c r="ERI27" s="55"/>
      <c r="ERJ27" s="53"/>
      <c r="ERN27" s="28"/>
      <c r="ERP27" s="55"/>
      <c r="ERQ27" s="53"/>
      <c r="ERU27" s="28"/>
      <c r="ERW27" s="55"/>
      <c r="ERX27" s="53"/>
      <c r="ESB27" s="28"/>
      <c r="ESD27" s="55"/>
      <c r="ESE27" s="53"/>
      <c r="ESI27" s="28"/>
      <c r="ESK27" s="55"/>
      <c r="ESL27" s="53"/>
      <c r="ESP27" s="28"/>
      <c r="ESR27" s="55"/>
      <c r="ESS27" s="53"/>
      <c r="ESW27" s="28"/>
      <c r="ESY27" s="55"/>
      <c r="ESZ27" s="53"/>
      <c r="ETD27" s="28"/>
      <c r="ETF27" s="55"/>
      <c r="ETG27" s="53"/>
      <c r="ETK27" s="28"/>
      <c r="ETM27" s="55"/>
      <c r="ETN27" s="53"/>
      <c r="ETR27" s="28"/>
      <c r="ETT27" s="55"/>
      <c r="ETU27" s="53"/>
      <c r="ETY27" s="28"/>
      <c r="EUA27" s="55"/>
      <c r="EUB27" s="53"/>
      <c r="EUF27" s="28"/>
      <c r="EUH27" s="55"/>
      <c r="EUI27" s="53"/>
      <c r="EUM27" s="28"/>
      <c r="EUO27" s="55"/>
      <c r="EUP27" s="53"/>
      <c r="EUT27" s="28"/>
      <c r="EUV27" s="55"/>
      <c r="EUW27" s="53"/>
      <c r="EVA27" s="28"/>
      <c r="EVC27" s="55"/>
      <c r="EVD27" s="53"/>
      <c r="EVH27" s="28"/>
      <c r="EVJ27" s="55"/>
      <c r="EVK27" s="53"/>
      <c r="EVO27" s="28"/>
      <c r="EVQ27" s="55"/>
      <c r="EVR27" s="53"/>
      <c r="EVV27" s="28"/>
      <c r="EVX27" s="55"/>
      <c r="EVY27" s="53"/>
      <c r="EWC27" s="28"/>
      <c r="EWE27" s="55"/>
      <c r="EWF27" s="53"/>
      <c r="EWJ27" s="28"/>
      <c r="EWL27" s="55"/>
      <c r="EWM27" s="53"/>
      <c r="EWQ27" s="28"/>
      <c r="EWS27" s="55"/>
      <c r="EWT27" s="53"/>
      <c r="EWX27" s="28"/>
      <c r="EWZ27" s="55"/>
      <c r="EXA27" s="53"/>
      <c r="EXE27" s="28"/>
      <c r="EXG27" s="55"/>
      <c r="EXH27" s="53"/>
      <c r="EXL27" s="28"/>
      <c r="EXN27" s="55"/>
      <c r="EXO27" s="53"/>
      <c r="EXS27" s="28"/>
      <c r="EXU27" s="55"/>
      <c r="EXV27" s="53"/>
      <c r="EXZ27" s="28"/>
      <c r="EYB27" s="55"/>
      <c r="EYC27" s="53"/>
      <c r="EYG27" s="28"/>
      <c r="EYI27" s="55"/>
      <c r="EYJ27" s="53"/>
      <c r="EYN27" s="28"/>
      <c r="EYP27" s="55"/>
      <c r="EYQ27" s="53"/>
      <c r="EYU27" s="28"/>
      <c r="EYW27" s="55"/>
      <c r="EYX27" s="53"/>
      <c r="EZB27" s="28"/>
      <c r="EZD27" s="55"/>
      <c r="EZE27" s="53"/>
      <c r="EZI27" s="28"/>
      <c r="EZK27" s="55"/>
      <c r="EZL27" s="53"/>
      <c r="EZP27" s="28"/>
      <c r="EZR27" s="55"/>
      <c r="EZS27" s="53"/>
      <c r="EZW27" s="28"/>
      <c r="EZY27" s="55"/>
      <c r="EZZ27" s="53"/>
      <c r="FAD27" s="28"/>
      <c r="FAF27" s="55"/>
      <c r="FAG27" s="53"/>
      <c r="FAK27" s="28"/>
      <c r="FAM27" s="55"/>
      <c r="FAN27" s="53"/>
      <c r="FAR27" s="28"/>
      <c r="FAT27" s="55"/>
      <c r="FAU27" s="53"/>
      <c r="FAY27" s="28"/>
      <c r="FBA27" s="55"/>
      <c r="FBB27" s="53"/>
      <c r="FBF27" s="28"/>
      <c r="FBH27" s="55"/>
      <c r="FBI27" s="53"/>
      <c r="FBM27" s="28"/>
      <c r="FBO27" s="55"/>
      <c r="FBP27" s="53"/>
      <c r="FBT27" s="28"/>
      <c r="FBV27" s="55"/>
      <c r="FBW27" s="53"/>
      <c r="FCA27" s="28"/>
      <c r="FCC27" s="55"/>
      <c r="FCD27" s="53"/>
      <c r="FCH27" s="28"/>
      <c r="FCJ27" s="55"/>
      <c r="FCK27" s="53"/>
      <c r="FCO27" s="28"/>
      <c r="FCQ27" s="55"/>
      <c r="FCR27" s="53"/>
      <c r="FCV27" s="28"/>
      <c r="FCX27" s="55"/>
      <c r="FCY27" s="53"/>
      <c r="FDC27" s="28"/>
      <c r="FDE27" s="55"/>
      <c r="FDF27" s="53"/>
      <c r="FDJ27" s="28"/>
      <c r="FDL27" s="55"/>
      <c r="FDM27" s="53"/>
      <c r="FDQ27" s="28"/>
      <c r="FDS27" s="55"/>
      <c r="FDT27" s="53"/>
      <c r="FDX27" s="28"/>
      <c r="FDZ27" s="55"/>
      <c r="FEA27" s="53"/>
      <c r="FEE27" s="28"/>
      <c r="FEG27" s="55"/>
      <c r="FEH27" s="53"/>
      <c r="FEL27" s="28"/>
      <c r="FEN27" s="55"/>
      <c r="FEO27" s="53"/>
      <c r="FES27" s="28"/>
      <c r="FEU27" s="55"/>
      <c r="FEV27" s="53"/>
      <c r="FEZ27" s="28"/>
      <c r="FFB27" s="55"/>
      <c r="FFC27" s="53"/>
      <c r="FFG27" s="28"/>
      <c r="FFI27" s="55"/>
      <c r="FFJ27" s="53"/>
      <c r="FFN27" s="28"/>
      <c r="FFP27" s="55"/>
      <c r="FFQ27" s="53"/>
      <c r="FFU27" s="28"/>
      <c r="FFW27" s="55"/>
      <c r="FFX27" s="53"/>
      <c r="FGB27" s="28"/>
      <c r="FGD27" s="55"/>
      <c r="FGE27" s="53"/>
      <c r="FGI27" s="28"/>
      <c r="FGK27" s="55"/>
      <c r="FGL27" s="53"/>
      <c r="FGP27" s="28"/>
      <c r="FGR27" s="55"/>
      <c r="FGS27" s="53"/>
      <c r="FGW27" s="28"/>
      <c r="FGY27" s="55"/>
      <c r="FGZ27" s="53"/>
      <c r="FHD27" s="28"/>
      <c r="FHF27" s="55"/>
      <c r="FHG27" s="53"/>
      <c r="FHK27" s="28"/>
      <c r="FHM27" s="55"/>
      <c r="FHN27" s="53"/>
      <c r="FHR27" s="28"/>
      <c r="FHT27" s="55"/>
      <c r="FHU27" s="53"/>
      <c r="FHY27" s="28"/>
      <c r="FIA27" s="55"/>
      <c r="FIB27" s="53"/>
      <c r="FIF27" s="28"/>
      <c r="FIH27" s="55"/>
      <c r="FII27" s="53"/>
      <c r="FIM27" s="28"/>
      <c r="FIO27" s="55"/>
      <c r="FIP27" s="53"/>
      <c r="FIT27" s="28"/>
      <c r="FIV27" s="55"/>
      <c r="FIW27" s="53"/>
      <c r="FJA27" s="28"/>
      <c r="FJC27" s="55"/>
      <c r="FJD27" s="53"/>
      <c r="FJH27" s="28"/>
      <c r="FJJ27" s="55"/>
      <c r="FJK27" s="53"/>
      <c r="FJO27" s="28"/>
      <c r="FJQ27" s="55"/>
      <c r="FJR27" s="53"/>
      <c r="FJV27" s="28"/>
      <c r="FJX27" s="55"/>
      <c r="FJY27" s="53"/>
      <c r="FKC27" s="28"/>
      <c r="FKE27" s="55"/>
      <c r="FKF27" s="53"/>
      <c r="FKJ27" s="28"/>
      <c r="FKL27" s="55"/>
      <c r="FKM27" s="53"/>
      <c r="FKQ27" s="28"/>
      <c r="FKS27" s="55"/>
      <c r="FKT27" s="53"/>
      <c r="FKX27" s="28"/>
      <c r="FKZ27" s="55"/>
      <c r="FLA27" s="53"/>
      <c r="FLE27" s="28"/>
      <c r="FLG27" s="55"/>
      <c r="FLH27" s="53"/>
      <c r="FLL27" s="28"/>
      <c r="FLN27" s="55"/>
      <c r="FLO27" s="53"/>
      <c r="FLS27" s="28"/>
      <c r="FLU27" s="55"/>
      <c r="FLV27" s="53"/>
      <c r="FLZ27" s="28"/>
      <c r="FMB27" s="55"/>
      <c r="FMC27" s="53"/>
      <c r="FMG27" s="28"/>
      <c r="FMI27" s="55"/>
      <c r="FMJ27" s="53"/>
      <c r="FMN27" s="28"/>
      <c r="FMP27" s="55"/>
      <c r="FMQ27" s="53"/>
      <c r="FMU27" s="28"/>
      <c r="FMW27" s="55"/>
      <c r="FMX27" s="53"/>
      <c r="FNB27" s="28"/>
      <c r="FND27" s="55"/>
      <c r="FNE27" s="53"/>
      <c r="FNI27" s="28"/>
      <c r="FNK27" s="55"/>
      <c r="FNL27" s="53"/>
      <c r="FNP27" s="28"/>
      <c r="FNR27" s="55"/>
      <c r="FNS27" s="53"/>
      <c r="FNW27" s="28"/>
      <c r="FNY27" s="55"/>
      <c r="FNZ27" s="53"/>
      <c r="FOD27" s="28"/>
      <c r="FOF27" s="55"/>
      <c r="FOG27" s="53"/>
      <c r="FOK27" s="28"/>
      <c r="FOM27" s="55"/>
      <c r="FON27" s="53"/>
      <c r="FOR27" s="28"/>
      <c r="FOT27" s="55"/>
      <c r="FOU27" s="53"/>
      <c r="FOY27" s="28"/>
      <c r="FPA27" s="55"/>
      <c r="FPB27" s="53"/>
      <c r="FPF27" s="28"/>
      <c r="FPH27" s="55"/>
      <c r="FPI27" s="53"/>
      <c r="FPM27" s="28"/>
      <c r="FPO27" s="55"/>
      <c r="FPP27" s="53"/>
      <c r="FPT27" s="28"/>
      <c r="FPV27" s="55"/>
      <c r="FPW27" s="53"/>
      <c r="FQA27" s="28"/>
      <c r="FQC27" s="55"/>
      <c r="FQD27" s="53"/>
      <c r="FQH27" s="28"/>
      <c r="FQJ27" s="55"/>
      <c r="FQK27" s="53"/>
      <c r="FQO27" s="28"/>
      <c r="FQQ27" s="55"/>
      <c r="FQR27" s="53"/>
      <c r="FQV27" s="28"/>
      <c r="FQX27" s="55"/>
      <c r="FQY27" s="53"/>
      <c r="FRC27" s="28"/>
      <c r="FRE27" s="55"/>
      <c r="FRF27" s="53"/>
      <c r="FRJ27" s="28"/>
      <c r="FRL27" s="55"/>
      <c r="FRM27" s="53"/>
      <c r="FRQ27" s="28"/>
      <c r="FRS27" s="55"/>
      <c r="FRT27" s="53"/>
      <c r="FRX27" s="28"/>
      <c r="FRZ27" s="55"/>
      <c r="FSA27" s="53"/>
      <c r="FSE27" s="28"/>
      <c r="FSG27" s="55"/>
      <c r="FSH27" s="53"/>
      <c r="FSL27" s="28"/>
      <c r="FSN27" s="55"/>
      <c r="FSO27" s="53"/>
      <c r="FSS27" s="28"/>
      <c r="FSU27" s="55"/>
      <c r="FSV27" s="53"/>
      <c r="FSZ27" s="28"/>
      <c r="FTB27" s="55"/>
      <c r="FTC27" s="53"/>
      <c r="FTG27" s="28"/>
      <c r="FTI27" s="55"/>
      <c r="FTJ27" s="53"/>
      <c r="FTN27" s="28"/>
      <c r="FTP27" s="55"/>
      <c r="FTQ27" s="53"/>
      <c r="FTU27" s="28"/>
      <c r="FTW27" s="55"/>
      <c r="FTX27" s="53"/>
      <c r="FUB27" s="28"/>
      <c r="FUD27" s="55"/>
      <c r="FUE27" s="53"/>
      <c r="FUI27" s="28"/>
      <c r="FUK27" s="55"/>
      <c r="FUL27" s="53"/>
      <c r="FUP27" s="28"/>
      <c r="FUR27" s="55"/>
      <c r="FUS27" s="53"/>
      <c r="FUW27" s="28"/>
      <c r="FUY27" s="55"/>
      <c r="FUZ27" s="53"/>
      <c r="FVD27" s="28"/>
      <c r="FVF27" s="55"/>
      <c r="FVG27" s="53"/>
      <c r="FVK27" s="28"/>
      <c r="FVM27" s="55"/>
      <c r="FVN27" s="53"/>
      <c r="FVR27" s="28"/>
      <c r="FVT27" s="55"/>
      <c r="FVU27" s="53"/>
      <c r="FVY27" s="28"/>
      <c r="FWA27" s="55"/>
      <c r="FWB27" s="53"/>
      <c r="FWF27" s="28"/>
      <c r="FWH27" s="55"/>
      <c r="FWI27" s="53"/>
      <c r="FWM27" s="28"/>
      <c r="FWO27" s="55"/>
      <c r="FWP27" s="53"/>
      <c r="FWT27" s="28"/>
      <c r="FWV27" s="55"/>
      <c r="FWW27" s="53"/>
      <c r="FXA27" s="28"/>
      <c r="FXC27" s="55"/>
      <c r="FXD27" s="53"/>
      <c r="FXH27" s="28"/>
      <c r="FXJ27" s="55"/>
      <c r="FXK27" s="53"/>
      <c r="FXO27" s="28"/>
      <c r="FXQ27" s="55"/>
      <c r="FXR27" s="53"/>
      <c r="FXV27" s="28"/>
      <c r="FXX27" s="55"/>
      <c r="FXY27" s="53"/>
      <c r="FYC27" s="28"/>
      <c r="FYE27" s="55"/>
      <c r="FYF27" s="53"/>
      <c r="FYJ27" s="28"/>
      <c r="FYL27" s="55"/>
      <c r="FYM27" s="53"/>
      <c r="FYQ27" s="28"/>
      <c r="FYS27" s="55"/>
      <c r="FYT27" s="53"/>
      <c r="FYX27" s="28"/>
      <c r="FYZ27" s="55"/>
      <c r="FZA27" s="53"/>
      <c r="FZE27" s="28"/>
      <c r="FZG27" s="55"/>
      <c r="FZH27" s="53"/>
      <c r="FZL27" s="28"/>
      <c r="FZN27" s="55"/>
      <c r="FZO27" s="53"/>
      <c r="FZS27" s="28"/>
      <c r="FZU27" s="55"/>
      <c r="FZV27" s="53"/>
      <c r="FZZ27" s="28"/>
      <c r="GAB27" s="55"/>
      <c r="GAC27" s="53"/>
      <c r="GAG27" s="28"/>
      <c r="GAI27" s="55"/>
      <c r="GAJ27" s="53"/>
      <c r="GAN27" s="28"/>
      <c r="GAP27" s="55"/>
      <c r="GAQ27" s="53"/>
      <c r="GAU27" s="28"/>
      <c r="GAW27" s="55"/>
      <c r="GAX27" s="53"/>
      <c r="GBB27" s="28"/>
      <c r="GBD27" s="55"/>
      <c r="GBE27" s="53"/>
      <c r="GBI27" s="28"/>
      <c r="GBK27" s="55"/>
      <c r="GBL27" s="53"/>
      <c r="GBP27" s="28"/>
      <c r="GBR27" s="55"/>
      <c r="GBS27" s="53"/>
      <c r="GBW27" s="28"/>
      <c r="GBY27" s="55"/>
      <c r="GBZ27" s="53"/>
      <c r="GCD27" s="28"/>
      <c r="GCF27" s="55"/>
      <c r="GCG27" s="53"/>
      <c r="GCK27" s="28"/>
      <c r="GCM27" s="55"/>
      <c r="GCN27" s="53"/>
      <c r="GCR27" s="28"/>
      <c r="GCT27" s="55"/>
      <c r="GCU27" s="53"/>
      <c r="GCY27" s="28"/>
      <c r="GDA27" s="55"/>
      <c r="GDB27" s="53"/>
      <c r="GDF27" s="28"/>
      <c r="GDH27" s="55"/>
      <c r="GDI27" s="53"/>
      <c r="GDM27" s="28"/>
      <c r="GDO27" s="55"/>
      <c r="GDP27" s="53"/>
      <c r="GDT27" s="28"/>
      <c r="GDV27" s="55"/>
      <c r="GDW27" s="53"/>
      <c r="GEA27" s="28"/>
      <c r="GEC27" s="55"/>
      <c r="GED27" s="53"/>
      <c r="GEH27" s="28"/>
      <c r="GEJ27" s="55"/>
      <c r="GEK27" s="53"/>
      <c r="GEO27" s="28"/>
      <c r="GEQ27" s="55"/>
      <c r="GER27" s="53"/>
      <c r="GEV27" s="28"/>
      <c r="GEX27" s="55"/>
      <c r="GEY27" s="53"/>
      <c r="GFC27" s="28"/>
      <c r="GFE27" s="55"/>
      <c r="GFF27" s="53"/>
      <c r="GFJ27" s="28"/>
      <c r="GFL27" s="55"/>
      <c r="GFM27" s="53"/>
      <c r="GFQ27" s="28"/>
      <c r="GFS27" s="55"/>
      <c r="GFT27" s="53"/>
      <c r="GFX27" s="28"/>
      <c r="GFZ27" s="55"/>
      <c r="GGA27" s="53"/>
      <c r="GGE27" s="28"/>
      <c r="GGG27" s="55"/>
      <c r="GGH27" s="53"/>
      <c r="GGL27" s="28"/>
      <c r="GGN27" s="55"/>
      <c r="GGO27" s="53"/>
      <c r="GGS27" s="28"/>
      <c r="GGU27" s="55"/>
      <c r="GGV27" s="53"/>
      <c r="GGZ27" s="28"/>
      <c r="GHB27" s="55"/>
      <c r="GHC27" s="53"/>
      <c r="GHG27" s="28"/>
      <c r="GHI27" s="55"/>
      <c r="GHJ27" s="53"/>
      <c r="GHN27" s="28"/>
      <c r="GHP27" s="55"/>
      <c r="GHQ27" s="53"/>
      <c r="GHU27" s="28"/>
      <c r="GHW27" s="55"/>
      <c r="GHX27" s="53"/>
      <c r="GIB27" s="28"/>
      <c r="GID27" s="55"/>
      <c r="GIE27" s="53"/>
      <c r="GII27" s="28"/>
      <c r="GIK27" s="55"/>
      <c r="GIL27" s="53"/>
      <c r="GIP27" s="28"/>
      <c r="GIR27" s="55"/>
      <c r="GIS27" s="53"/>
      <c r="GIW27" s="28"/>
      <c r="GIY27" s="55"/>
      <c r="GIZ27" s="53"/>
      <c r="GJD27" s="28"/>
      <c r="GJF27" s="55"/>
      <c r="GJG27" s="53"/>
      <c r="GJK27" s="28"/>
      <c r="GJM27" s="55"/>
      <c r="GJN27" s="53"/>
      <c r="GJR27" s="28"/>
      <c r="GJT27" s="55"/>
      <c r="GJU27" s="53"/>
      <c r="GJY27" s="28"/>
      <c r="GKA27" s="55"/>
      <c r="GKB27" s="53"/>
      <c r="GKF27" s="28"/>
      <c r="GKH27" s="55"/>
      <c r="GKI27" s="53"/>
      <c r="GKM27" s="28"/>
      <c r="GKO27" s="55"/>
      <c r="GKP27" s="53"/>
      <c r="GKT27" s="28"/>
      <c r="GKV27" s="55"/>
      <c r="GKW27" s="53"/>
      <c r="GLA27" s="28"/>
      <c r="GLC27" s="55"/>
      <c r="GLD27" s="53"/>
      <c r="GLH27" s="28"/>
      <c r="GLJ27" s="55"/>
      <c r="GLK27" s="53"/>
      <c r="GLO27" s="28"/>
      <c r="GLQ27" s="55"/>
      <c r="GLR27" s="53"/>
      <c r="GLV27" s="28"/>
      <c r="GLX27" s="55"/>
      <c r="GLY27" s="53"/>
      <c r="GMC27" s="28"/>
      <c r="GME27" s="55"/>
      <c r="GMF27" s="53"/>
      <c r="GMJ27" s="28"/>
      <c r="GML27" s="55"/>
      <c r="GMM27" s="53"/>
      <c r="GMQ27" s="28"/>
      <c r="GMS27" s="55"/>
      <c r="GMT27" s="53"/>
      <c r="GMX27" s="28"/>
      <c r="GMZ27" s="55"/>
      <c r="GNA27" s="53"/>
      <c r="GNE27" s="28"/>
      <c r="GNG27" s="55"/>
      <c r="GNH27" s="53"/>
      <c r="GNL27" s="28"/>
      <c r="GNN27" s="55"/>
      <c r="GNO27" s="53"/>
      <c r="GNS27" s="28"/>
      <c r="GNU27" s="55"/>
      <c r="GNV27" s="53"/>
      <c r="GNZ27" s="28"/>
      <c r="GOB27" s="55"/>
      <c r="GOC27" s="53"/>
      <c r="GOG27" s="28"/>
      <c r="GOI27" s="55"/>
      <c r="GOJ27" s="53"/>
      <c r="GON27" s="28"/>
      <c r="GOP27" s="55"/>
      <c r="GOQ27" s="53"/>
      <c r="GOU27" s="28"/>
      <c r="GOW27" s="55"/>
      <c r="GOX27" s="53"/>
      <c r="GPB27" s="28"/>
      <c r="GPD27" s="55"/>
      <c r="GPE27" s="53"/>
      <c r="GPI27" s="28"/>
      <c r="GPK27" s="55"/>
      <c r="GPL27" s="53"/>
      <c r="GPP27" s="28"/>
      <c r="GPR27" s="55"/>
      <c r="GPS27" s="53"/>
      <c r="GPW27" s="28"/>
      <c r="GPY27" s="55"/>
      <c r="GPZ27" s="53"/>
      <c r="GQD27" s="28"/>
      <c r="GQF27" s="55"/>
      <c r="GQG27" s="53"/>
      <c r="GQK27" s="28"/>
      <c r="GQM27" s="55"/>
      <c r="GQN27" s="53"/>
      <c r="GQR27" s="28"/>
      <c r="GQT27" s="55"/>
      <c r="GQU27" s="53"/>
      <c r="GQY27" s="28"/>
      <c r="GRA27" s="55"/>
      <c r="GRB27" s="53"/>
      <c r="GRF27" s="28"/>
      <c r="GRH27" s="55"/>
      <c r="GRI27" s="53"/>
      <c r="GRM27" s="28"/>
      <c r="GRO27" s="55"/>
      <c r="GRP27" s="53"/>
      <c r="GRT27" s="28"/>
      <c r="GRV27" s="55"/>
      <c r="GRW27" s="53"/>
      <c r="GSA27" s="28"/>
      <c r="GSC27" s="55"/>
      <c r="GSD27" s="53"/>
      <c r="GSH27" s="28"/>
      <c r="GSJ27" s="55"/>
      <c r="GSK27" s="53"/>
      <c r="GSO27" s="28"/>
      <c r="GSQ27" s="55"/>
      <c r="GSR27" s="53"/>
      <c r="GSV27" s="28"/>
      <c r="GSX27" s="55"/>
      <c r="GSY27" s="53"/>
      <c r="GTC27" s="28"/>
      <c r="GTE27" s="55"/>
      <c r="GTF27" s="53"/>
      <c r="GTJ27" s="28"/>
      <c r="GTL27" s="55"/>
      <c r="GTM27" s="53"/>
      <c r="GTQ27" s="28"/>
      <c r="GTS27" s="55"/>
      <c r="GTT27" s="53"/>
      <c r="GTX27" s="28"/>
      <c r="GTZ27" s="55"/>
      <c r="GUA27" s="53"/>
      <c r="GUE27" s="28"/>
      <c r="GUG27" s="55"/>
      <c r="GUH27" s="53"/>
      <c r="GUL27" s="28"/>
      <c r="GUN27" s="55"/>
      <c r="GUO27" s="53"/>
      <c r="GUS27" s="28"/>
      <c r="GUU27" s="55"/>
      <c r="GUV27" s="53"/>
      <c r="GUZ27" s="28"/>
      <c r="GVB27" s="55"/>
      <c r="GVC27" s="53"/>
      <c r="GVG27" s="28"/>
      <c r="GVI27" s="55"/>
      <c r="GVJ27" s="53"/>
      <c r="GVN27" s="28"/>
      <c r="GVP27" s="55"/>
      <c r="GVQ27" s="53"/>
      <c r="GVU27" s="28"/>
      <c r="GVW27" s="55"/>
      <c r="GVX27" s="53"/>
      <c r="GWB27" s="28"/>
      <c r="GWD27" s="55"/>
      <c r="GWE27" s="53"/>
      <c r="GWI27" s="28"/>
      <c r="GWK27" s="55"/>
      <c r="GWL27" s="53"/>
      <c r="GWP27" s="28"/>
      <c r="GWR27" s="55"/>
      <c r="GWS27" s="53"/>
      <c r="GWW27" s="28"/>
      <c r="GWY27" s="55"/>
      <c r="GWZ27" s="53"/>
      <c r="GXD27" s="28"/>
      <c r="GXF27" s="55"/>
      <c r="GXG27" s="53"/>
      <c r="GXK27" s="28"/>
      <c r="GXM27" s="55"/>
      <c r="GXN27" s="53"/>
      <c r="GXR27" s="28"/>
      <c r="GXT27" s="55"/>
      <c r="GXU27" s="53"/>
      <c r="GXY27" s="28"/>
      <c r="GYA27" s="55"/>
      <c r="GYB27" s="53"/>
      <c r="GYF27" s="28"/>
      <c r="GYH27" s="55"/>
      <c r="GYI27" s="53"/>
      <c r="GYM27" s="28"/>
      <c r="GYO27" s="55"/>
      <c r="GYP27" s="53"/>
      <c r="GYT27" s="28"/>
      <c r="GYV27" s="55"/>
      <c r="GYW27" s="53"/>
      <c r="GZA27" s="28"/>
      <c r="GZC27" s="55"/>
      <c r="GZD27" s="53"/>
      <c r="GZH27" s="28"/>
      <c r="GZJ27" s="55"/>
      <c r="GZK27" s="53"/>
      <c r="GZO27" s="28"/>
      <c r="GZQ27" s="55"/>
      <c r="GZR27" s="53"/>
      <c r="GZV27" s="28"/>
      <c r="GZX27" s="55"/>
      <c r="GZY27" s="53"/>
      <c r="HAC27" s="28"/>
      <c r="HAE27" s="55"/>
      <c r="HAF27" s="53"/>
      <c r="HAJ27" s="28"/>
      <c r="HAL27" s="55"/>
      <c r="HAM27" s="53"/>
      <c r="HAQ27" s="28"/>
      <c r="HAS27" s="55"/>
      <c r="HAT27" s="53"/>
      <c r="HAX27" s="28"/>
      <c r="HAZ27" s="55"/>
      <c r="HBA27" s="53"/>
      <c r="HBE27" s="28"/>
      <c r="HBG27" s="55"/>
      <c r="HBH27" s="53"/>
      <c r="HBL27" s="28"/>
      <c r="HBN27" s="55"/>
      <c r="HBO27" s="53"/>
      <c r="HBS27" s="28"/>
      <c r="HBU27" s="55"/>
      <c r="HBV27" s="53"/>
      <c r="HBZ27" s="28"/>
      <c r="HCB27" s="55"/>
      <c r="HCC27" s="53"/>
      <c r="HCG27" s="28"/>
      <c r="HCI27" s="55"/>
      <c r="HCJ27" s="53"/>
      <c r="HCN27" s="28"/>
      <c r="HCP27" s="55"/>
      <c r="HCQ27" s="53"/>
      <c r="HCU27" s="28"/>
      <c r="HCW27" s="55"/>
      <c r="HCX27" s="53"/>
      <c r="HDB27" s="28"/>
      <c r="HDD27" s="55"/>
      <c r="HDE27" s="53"/>
      <c r="HDI27" s="28"/>
      <c r="HDK27" s="55"/>
      <c r="HDL27" s="53"/>
      <c r="HDP27" s="28"/>
      <c r="HDR27" s="55"/>
      <c r="HDS27" s="53"/>
      <c r="HDW27" s="28"/>
      <c r="HDY27" s="55"/>
      <c r="HDZ27" s="53"/>
      <c r="HED27" s="28"/>
      <c r="HEF27" s="55"/>
      <c r="HEG27" s="53"/>
      <c r="HEK27" s="28"/>
      <c r="HEM27" s="55"/>
      <c r="HEN27" s="53"/>
      <c r="HER27" s="28"/>
      <c r="HET27" s="55"/>
      <c r="HEU27" s="53"/>
      <c r="HEY27" s="28"/>
      <c r="HFA27" s="55"/>
      <c r="HFB27" s="53"/>
      <c r="HFF27" s="28"/>
      <c r="HFH27" s="55"/>
      <c r="HFI27" s="53"/>
      <c r="HFM27" s="28"/>
      <c r="HFO27" s="55"/>
      <c r="HFP27" s="53"/>
      <c r="HFT27" s="28"/>
      <c r="HFV27" s="55"/>
      <c r="HFW27" s="53"/>
      <c r="HGA27" s="28"/>
      <c r="HGC27" s="55"/>
      <c r="HGD27" s="53"/>
      <c r="HGH27" s="28"/>
      <c r="HGJ27" s="55"/>
      <c r="HGK27" s="53"/>
      <c r="HGO27" s="28"/>
      <c r="HGQ27" s="55"/>
      <c r="HGR27" s="53"/>
      <c r="HGV27" s="28"/>
      <c r="HGX27" s="55"/>
      <c r="HGY27" s="53"/>
      <c r="HHC27" s="28"/>
      <c r="HHE27" s="55"/>
      <c r="HHF27" s="53"/>
      <c r="HHJ27" s="28"/>
      <c r="HHL27" s="55"/>
      <c r="HHM27" s="53"/>
      <c r="HHQ27" s="28"/>
      <c r="HHS27" s="55"/>
      <c r="HHT27" s="53"/>
      <c r="HHX27" s="28"/>
      <c r="HHZ27" s="55"/>
      <c r="HIA27" s="53"/>
      <c r="HIE27" s="28"/>
      <c r="HIG27" s="55"/>
      <c r="HIH27" s="53"/>
      <c r="HIL27" s="28"/>
      <c r="HIN27" s="55"/>
      <c r="HIO27" s="53"/>
      <c r="HIS27" s="28"/>
      <c r="HIU27" s="55"/>
      <c r="HIV27" s="53"/>
      <c r="HIZ27" s="28"/>
      <c r="HJB27" s="55"/>
      <c r="HJC27" s="53"/>
      <c r="HJG27" s="28"/>
      <c r="HJI27" s="55"/>
      <c r="HJJ27" s="53"/>
      <c r="HJN27" s="28"/>
      <c r="HJP27" s="55"/>
      <c r="HJQ27" s="53"/>
      <c r="HJU27" s="28"/>
      <c r="HJW27" s="55"/>
      <c r="HJX27" s="53"/>
      <c r="HKB27" s="28"/>
      <c r="HKD27" s="55"/>
      <c r="HKE27" s="53"/>
      <c r="HKI27" s="28"/>
      <c r="HKK27" s="55"/>
      <c r="HKL27" s="53"/>
      <c r="HKP27" s="28"/>
      <c r="HKR27" s="55"/>
      <c r="HKS27" s="53"/>
      <c r="HKW27" s="28"/>
      <c r="HKY27" s="55"/>
      <c r="HKZ27" s="53"/>
      <c r="HLD27" s="28"/>
      <c r="HLF27" s="55"/>
      <c r="HLG27" s="53"/>
      <c r="HLK27" s="28"/>
      <c r="HLM27" s="55"/>
      <c r="HLN27" s="53"/>
      <c r="HLR27" s="28"/>
      <c r="HLT27" s="55"/>
      <c r="HLU27" s="53"/>
      <c r="HLY27" s="28"/>
      <c r="HMA27" s="55"/>
      <c r="HMB27" s="53"/>
      <c r="HMF27" s="28"/>
      <c r="HMH27" s="55"/>
      <c r="HMI27" s="53"/>
      <c r="HMM27" s="28"/>
      <c r="HMO27" s="55"/>
      <c r="HMP27" s="53"/>
      <c r="HMT27" s="28"/>
      <c r="HMV27" s="55"/>
      <c r="HMW27" s="53"/>
      <c r="HNA27" s="28"/>
      <c r="HNC27" s="55"/>
      <c r="HND27" s="53"/>
      <c r="HNH27" s="28"/>
      <c r="HNJ27" s="55"/>
      <c r="HNK27" s="53"/>
      <c r="HNO27" s="28"/>
      <c r="HNQ27" s="55"/>
      <c r="HNR27" s="53"/>
      <c r="HNV27" s="28"/>
      <c r="HNX27" s="55"/>
      <c r="HNY27" s="53"/>
      <c r="HOC27" s="28"/>
      <c r="HOE27" s="55"/>
      <c r="HOF27" s="53"/>
      <c r="HOJ27" s="28"/>
      <c r="HOL27" s="55"/>
      <c r="HOM27" s="53"/>
      <c r="HOQ27" s="28"/>
      <c r="HOS27" s="55"/>
      <c r="HOT27" s="53"/>
      <c r="HOX27" s="28"/>
      <c r="HOZ27" s="55"/>
      <c r="HPA27" s="53"/>
      <c r="HPE27" s="28"/>
      <c r="HPG27" s="55"/>
      <c r="HPH27" s="53"/>
      <c r="HPL27" s="28"/>
      <c r="HPN27" s="55"/>
      <c r="HPO27" s="53"/>
      <c r="HPS27" s="28"/>
      <c r="HPU27" s="55"/>
      <c r="HPV27" s="53"/>
      <c r="HPZ27" s="28"/>
      <c r="HQB27" s="55"/>
      <c r="HQC27" s="53"/>
      <c r="HQG27" s="28"/>
      <c r="HQI27" s="55"/>
      <c r="HQJ27" s="53"/>
      <c r="HQN27" s="28"/>
      <c r="HQP27" s="55"/>
      <c r="HQQ27" s="53"/>
      <c r="HQU27" s="28"/>
      <c r="HQW27" s="55"/>
      <c r="HQX27" s="53"/>
      <c r="HRB27" s="28"/>
      <c r="HRD27" s="55"/>
      <c r="HRE27" s="53"/>
      <c r="HRI27" s="28"/>
      <c r="HRK27" s="55"/>
      <c r="HRL27" s="53"/>
      <c r="HRP27" s="28"/>
      <c r="HRR27" s="55"/>
      <c r="HRS27" s="53"/>
      <c r="HRW27" s="28"/>
      <c r="HRY27" s="55"/>
      <c r="HRZ27" s="53"/>
      <c r="HSD27" s="28"/>
      <c r="HSF27" s="55"/>
      <c r="HSG27" s="53"/>
      <c r="HSK27" s="28"/>
      <c r="HSM27" s="55"/>
      <c r="HSN27" s="53"/>
      <c r="HSR27" s="28"/>
      <c r="HST27" s="55"/>
      <c r="HSU27" s="53"/>
      <c r="HSY27" s="28"/>
      <c r="HTA27" s="55"/>
      <c r="HTB27" s="53"/>
      <c r="HTF27" s="28"/>
      <c r="HTH27" s="55"/>
      <c r="HTI27" s="53"/>
      <c r="HTM27" s="28"/>
      <c r="HTO27" s="55"/>
      <c r="HTP27" s="53"/>
      <c r="HTT27" s="28"/>
      <c r="HTV27" s="55"/>
      <c r="HTW27" s="53"/>
      <c r="HUA27" s="28"/>
      <c r="HUC27" s="55"/>
      <c r="HUD27" s="53"/>
      <c r="HUH27" s="28"/>
      <c r="HUJ27" s="55"/>
      <c r="HUK27" s="53"/>
      <c r="HUO27" s="28"/>
      <c r="HUQ27" s="55"/>
      <c r="HUR27" s="53"/>
      <c r="HUV27" s="28"/>
      <c r="HUX27" s="55"/>
      <c r="HUY27" s="53"/>
      <c r="HVC27" s="28"/>
      <c r="HVE27" s="55"/>
      <c r="HVF27" s="53"/>
      <c r="HVJ27" s="28"/>
      <c r="HVL27" s="55"/>
      <c r="HVM27" s="53"/>
      <c r="HVQ27" s="28"/>
      <c r="HVS27" s="55"/>
      <c r="HVT27" s="53"/>
      <c r="HVX27" s="28"/>
      <c r="HVZ27" s="55"/>
      <c r="HWA27" s="53"/>
      <c r="HWE27" s="28"/>
      <c r="HWG27" s="55"/>
      <c r="HWH27" s="53"/>
      <c r="HWL27" s="28"/>
      <c r="HWN27" s="55"/>
      <c r="HWO27" s="53"/>
      <c r="HWS27" s="28"/>
      <c r="HWU27" s="55"/>
      <c r="HWV27" s="53"/>
      <c r="HWZ27" s="28"/>
      <c r="HXB27" s="55"/>
      <c r="HXC27" s="53"/>
      <c r="HXG27" s="28"/>
      <c r="HXI27" s="55"/>
      <c r="HXJ27" s="53"/>
      <c r="HXN27" s="28"/>
      <c r="HXP27" s="55"/>
      <c r="HXQ27" s="53"/>
      <c r="HXU27" s="28"/>
      <c r="HXW27" s="55"/>
      <c r="HXX27" s="53"/>
      <c r="HYB27" s="28"/>
      <c r="HYD27" s="55"/>
      <c r="HYE27" s="53"/>
      <c r="HYI27" s="28"/>
      <c r="HYK27" s="55"/>
      <c r="HYL27" s="53"/>
      <c r="HYP27" s="28"/>
      <c r="HYR27" s="55"/>
      <c r="HYS27" s="53"/>
      <c r="HYW27" s="28"/>
      <c r="HYY27" s="55"/>
      <c r="HYZ27" s="53"/>
      <c r="HZD27" s="28"/>
      <c r="HZF27" s="55"/>
      <c r="HZG27" s="53"/>
      <c r="HZK27" s="28"/>
      <c r="HZM27" s="55"/>
      <c r="HZN27" s="53"/>
      <c r="HZR27" s="28"/>
      <c r="HZT27" s="55"/>
      <c r="HZU27" s="53"/>
      <c r="HZY27" s="28"/>
      <c r="IAA27" s="55"/>
      <c r="IAB27" s="53"/>
      <c r="IAF27" s="28"/>
      <c r="IAH27" s="55"/>
      <c r="IAI27" s="53"/>
      <c r="IAM27" s="28"/>
      <c r="IAO27" s="55"/>
      <c r="IAP27" s="53"/>
      <c r="IAT27" s="28"/>
      <c r="IAV27" s="55"/>
      <c r="IAW27" s="53"/>
      <c r="IBA27" s="28"/>
      <c r="IBC27" s="55"/>
      <c r="IBD27" s="53"/>
      <c r="IBH27" s="28"/>
      <c r="IBJ27" s="55"/>
      <c r="IBK27" s="53"/>
      <c r="IBO27" s="28"/>
      <c r="IBQ27" s="55"/>
      <c r="IBR27" s="53"/>
      <c r="IBV27" s="28"/>
      <c r="IBX27" s="55"/>
      <c r="IBY27" s="53"/>
      <c r="ICC27" s="28"/>
      <c r="ICE27" s="55"/>
      <c r="ICF27" s="53"/>
      <c r="ICJ27" s="28"/>
      <c r="ICL27" s="55"/>
      <c r="ICM27" s="53"/>
      <c r="ICQ27" s="28"/>
      <c r="ICS27" s="55"/>
      <c r="ICT27" s="53"/>
      <c r="ICX27" s="28"/>
      <c r="ICZ27" s="55"/>
      <c r="IDA27" s="53"/>
      <c r="IDE27" s="28"/>
      <c r="IDG27" s="55"/>
      <c r="IDH27" s="53"/>
      <c r="IDL27" s="28"/>
      <c r="IDN27" s="55"/>
      <c r="IDO27" s="53"/>
      <c r="IDS27" s="28"/>
      <c r="IDU27" s="55"/>
      <c r="IDV27" s="53"/>
      <c r="IDZ27" s="28"/>
      <c r="IEB27" s="55"/>
      <c r="IEC27" s="53"/>
      <c r="IEG27" s="28"/>
      <c r="IEI27" s="55"/>
      <c r="IEJ27" s="53"/>
      <c r="IEN27" s="28"/>
      <c r="IEP27" s="55"/>
      <c r="IEQ27" s="53"/>
      <c r="IEU27" s="28"/>
      <c r="IEW27" s="55"/>
      <c r="IEX27" s="53"/>
      <c r="IFB27" s="28"/>
      <c r="IFD27" s="55"/>
      <c r="IFE27" s="53"/>
      <c r="IFI27" s="28"/>
      <c r="IFK27" s="55"/>
      <c r="IFL27" s="53"/>
      <c r="IFP27" s="28"/>
      <c r="IFR27" s="55"/>
      <c r="IFS27" s="53"/>
      <c r="IFW27" s="28"/>
      <c r="IFY27" s="55"/>
      <c r="IFZ27" s="53"/>
      <c r="IGD27" s="28"/>
      <c r="IGF27" s="55"/>
      <c r="IGG27" s="53"/>
      <c r="IGK27" s="28"/>
      <c r="IGM27" s="55"/>
      <c r="IGN27" s="53"/>
      <c r="IGR27" s="28"/>
      <c r="IGT27" s="55"/>
      <c r="IGU27" s="53"/>
      <c r="IGY27" s="28"/>
      <c r="IHA27" s="55"/>
      <c r="IHB27" s="53"/>
      <c r="IHF27" s="28"/>
      <c r="IHH27" s="55"/>
      <c r="IHI27" s="53"/>
      <c r="IHM27" s="28"/>
      <c r="IHO27" s="55"/>
      <c r="IHP27" s="53"/>
      <c r="IHT27" s="28"/>
      <c r="IHV27" s="55"/>
      <c r="IHW27" s="53"/>
      <c r="IIA27" s="28"/>
      <c r="IIC27" s="55"/>
      <c r="IID27" s="53"/>
      <c r="IIH27" s="28"/>
      <c r="IIJ27" s="55"/>
      <c r="IIK27" s="53"/>
      <c r="IIO27" s="28"/>
      <c r="IIQ27" s="55"/>
      <c r="IIR27" s="53"/>
      <c r="IIV27" s="28"/>
      <c r="IIX27" s="55"/>
      <c r="IIY27" s="53"/>
      <c r="IJC27" s="28"/>
      <c r="IJE27" s="55"/>
      <c r="IJF27" s="53"/>
      <c r="IJJ27" s="28"/>
      <c r="IJL27" s="55"/>
      <c r="IJM27" s="53"/>
      <c r="IJQ27" s="28"/>
      <c r="IJS27" s="55"/>
      <c r="IJT27" s="53"/>
      <c r="IJX27" s="28"/>
      <c r="IJZ27" s="55"/>
      <c r="IKA27" s="53"/>
      <c r="IKE27" s="28"/>
      <c r="IKG27" s="55"/>
      <c r="IKH27" s="53"/>
      <c r="IKL27" s="28"/>
      <c r="IKN27" s="55"/>
      <c r="IKO27" s="53"/>
      <c r="IKS27" s="28"/>
      <c r="IKU27" s="55"/>
      <c r="IKV27" s="53"/>
      <c r="IKZ27" s="28"/>
      <c r="ILB27" s="55"/>
      <c r="ILC27" s="53"/>
      <c r="ILG27" s="28"/>
      <c r="ILI27" s="55"/>
      <c r="ILJ27" s="53"/>
      <c r="ILN27" s="28"/>
      <c r="ILP27" s="55"/>
      <c r="ILQ27" s="53"/>
      <c r="ILU27" s="28"/>
      <c r="ILW27" s="55"/>
      <c r="ILX27" s="53"/>
      <c r="IMB27" s="28"/>
      <c r="IMD27" s="55"/>
      <c r="IME27" s="53"/>
      <c r="IMI27" s="28"/>
      <c r="IMK27" s="55"/>
      <c r="IML27" s="53"/>
      <c r="IMP27" s="28"/>
      <c r="IMR27" s="55"/>
      <c r="IMS27" s="53"/>
      <c r="IMW27" s="28"/>
      <c r="IMY27" s="55"/>
      <c r="IMZ27" s="53"/>
      <c r="IND27" s="28"/>
      <c r="INF27" s="55"/>
      <c r="ING27" s="53"/>
      <c r="INK27" s="28"/>
      <c r="INM27" s="55"/>
      <c r="INN27" s="53"/>
      <c r="INR27" s="28"/>
      <c r="INT27" s="55"/>
      <c r="INU27" s="53"/>
      <c r="INY27" s="28"/>
      <c r="IOA27" s="55"/>
      <c r="IOB27" s="53"/>
      <c r="IOF27" s="28"/>
      <c r="IOH27" s="55"/>
      <c r="IOI27" s="53"/>
      <c r="IOM27" s="28"/>
      <c r="IOO27" s="55"/>
      <c r="IOP27" s="53"/>
      <c r="IOT27" s="28"/>
      <c r="IOV27" s="55"/>
      <c r="IOW27" s="53"/>
      <c r="IPA27" s="28"/>
      <c r="IPC27" s="55"/>
      <c r="IPD27" s="53"/>
      <c r="IPH27" s="28"/>
      <c r="IPJ27" s="55"/>
      <c r="IPK27" s="53"/>
      <c r="IPO27" s="28"/>
      <c r="IPQ27" s="55"/>
      <c r="IPR27" s="53"/>
      <c r="IPV27" s="28"/>
      <c r="IPX27" s="55"/>
      <c r="IPY27" s="53"/>
      <c r="IQC27" s="28"/>
      <c r="IQE27" s="55"/>
      <c r="IQF27" s="53"/>
      <c r="IQJ27" s="28"/>
      <c r="IQL27" s="55"/>
      <c r="IQM27" s="53"/>
      <c r="IQQ27" s="28"/>
      <c r="IQS27" s="55"/>
      <c r="IQT27" s="53"/>
      <c r="IQX27" s="28"/>
      <c r="IQZ27" s="55"/>
      <c r="IRA27" s="53"/>
      <c r="IRE27" s="28"/>
      <c r="IRG27" s="55"/>
      <c r="IRH27" s="53"/>
      <c r="IRL27" s="28"/>
      <c r="IRN27" s="55"/>
      <c r="IRO27" s="53"/>
      <c r="IRS27" s="28"/>
      <c r="IRU27" s="55"/>
      <c r="IRV27" s="53"/>
      <c r="IRZ27" s="28"/>
      <c r="ISB27" s="55"/>
      <c r="ISC27" s="53"/>
      <c r="ISG27" s="28"/>
      <c r="ISI27" s="55"/>
      <c r="ISJ27" s="53"/>
      <c r="ISN27" s="28"/>
      <c r="ISP27" s="55"/>
      <c r="ISQ27" s="53"/>
      <c r="ISU27" s="28"/>
      <c r="ISW27" s="55"/>
      <c r="ISX27" s="53"/>
      <c r="ITB27" s="28"/>
      <c r="ITD27" s="55"/>
      <c r="ITE27" s="53"/>
      <c r="ITI27" s="28"/>
      <c r="ITK27" s="55"/>
      <c r="ITL27" s="53"/>
      <c r="ITP27" s="28"/>
      <c r="ITR27" s="55"/>
      <c r="ITS27" s="53"/>
      <c r="ITW27" s="28"/>
      <c r="ITY27" s="55"/>
      <c r="ITZ27" s="53"/>
      <c r="IUD27" s="28"/>
      <c r="IUF27" s="55"/>
      <c r="IUG27" s="53"/>
      <c r="IUK27" s="28"/>
      <c r="IUM27" s="55"/>
      <c r="IUN27" s="53"/>
      <c r="IUR27" s="28"/>
      <c r="IUT27" s="55"/>
      <c r="IUU27" s="53"/>
      <c r="IUY27" s="28"/>
      <c r="IVA27" s="55"/>
      <c r="IVB27" s="53"/>
      <c r="IVF27" s="28"/>
      <c r="IVH27" s="55"/>
      <c r="IVI27" s="53"/>
      <c r="IVM27" s="28"/>
      <c r="IVO27" s="55"/>
      <c r="IVP27" s="53"/>
      <c r="IVT27" s="28"/>
      <c r="IVV27" s="55"/>
      <c r="IVW27" s="53"/>
      <c r="IWA27" s="28"/>
      <c r="IWC27" s="55"/>
      <c r="IWD27" s="53"/>
      <c r="IWH27" s="28"/>
      <c r="IWJ27" s="55"/>
      <c r="IWK27" s="53"/>
      <c r="IWO27" s="28"/>
      <c r="IWQ27" s="55"/>
      <c r="IWR27" s="53"/>
      <c r="IWV27" s="28"/>
      <c r="IWX27" s="55"/>
      <c r="IWY27" s="53"/>
      <c r="IXC27" s="28"/>
      <c r="IXE27" s="55"/>
      <c r="IXF27" s="53"/>
      <c r="IXJ27" s="28"/>
      <c r="IXL27" s="55"/>
      <c r="IXM27" s="53"/>
      <c r="IXQ27" s="28"/>
      <c r="IXS27" s="55"/>
      <c r="IXT27" s="53"/>
      <c r="IXX27" s="28"/>
      <c r="IXZ27" s="55"/>
      <c r="IYA27" s="53"/>
      <c r="IYE27" s="28"/>
      <c r="IYG27" s="55"/>
      <c r="IYH27" s="53"/>
      <c r="IYL27" s="28"/>
      <c r="IYN27" s="55"/>
      <c r="IYO27" s="53"/>
      <c r="IYS27" s="28"/>
      <c r="IYU27" s="55"/>
      <c r="IYV27" s="53"/>
      <c r="IYZ27" s="28"/>
      <c r="IZB27" s="55"/>
      <c r="IZC27" s="53"/>
      <c r="IZG27" s="28"/>
      <c r="IZI27" s="55"/>
      <c r="IZJ27" s="53"/>
      <c r="IZN27" s="28"/>
      <c r="IZP27" s="55"/>
      <c r="IZQ27" s="53"/>
      <c r="IZU27" s="28"/>
      <c r="IZW27" s="55"/>
      <c r="IZX27" s="53"/>
      <c r="JAB27" s="28"/>
      <c r="JAD27" s="55"/>
      <c r="JAE27" s="53"/>
      <c r="JAI27" s="28"/>
      <c r="JAK27" s="55"/>
      <c r="JAL27" s="53"/>
      <c r="JAP27" s="28"/>
      <c r="JAR27" s="55"/>
      <c r="JAS27" s="53"/>
      <c r="JAW27" s="28"/>
      <c r="JAY27" s="55"/>
      <c r="JAZ27" s="53"/>
      <c r="JBD27" s="28"/>
      <c r="JBF27" s="55"/>
      <c r="JBG27" s="53"/>
      <c r="JBK27" s="28"/>
      <c r="JBM27" s="55"/>
      <c r="JBN27" s="53"/>
      <c r="JBR27" s="28"/>
      <c r="JBT27" s="55"/>
      <c r="JBU27" s="53"/>
      <c r="JBY27" s="28"/>
      <c r="JCA27" s="55"/>
      <c r="JCB27" s="53"/>
      <c r="JCF27" s="28"/>
      <c r="JCH27" s="55"/>
      <c r="JCI27" s="53"/>
      <c r="JCM27" s="28"/>
      <c r="JCO27" s="55"/>
      <c r="JCP27" s="53"/>
      <c r="JCT27" s="28"/>
      <c r="JCV27" s="55"/>
      <c r="JCW27" s="53"/>
      <c r="JDA27" s="28"/>
      <c r="JDC27" s="55"/>
      <c r="JDD27" s="53"/>
      <c r="JDH27" s="28"/>
      <c r="JDJ27" s="55"/>
      <c r="JDK27" s="53"/>
      <c r="JDO27" s="28"/>
      <c r="JDQ27" s="55"/>
      <c r="JDR27" s="53"/>
      <c r="JDV27" s="28"/>
      <c r="JDX27" s="55"/>
      <c r="JDY27" s="53"/>
      <c r="JEC27" s="28"/>
      <c r="JEE27" s="55"/>
      <c r="JEF27" s="53"/>
      <c r="JEJ27" s="28"/>
      <c r="JEL27" s="55"/>
      <c r="JEM27" s="53"/>
      <c r="JEQ27" s="28"/>
      <c r="JES27" s="55"/>
      <c r="JET27" s="53"/>
      <c r="JEX27" s="28"/>
      <c r="JEZ27" s="55"/>
      <c r="JFA27" s="53"/>
      <c r="JFE27" s="28"/>
      <c r="JFG27" s="55"/>
      <c r="JFH27" s="53"/>
      <c r="JFL27" s="28"/>
      <c r="JFN27" s="55"/>
      <c r="JFO27" s="53"/>
      <c r="JFS27" s="28"/>
      <c r="JFU27" s="55"/>
      <c r="JFV27" s="53"/>
      <c r="JFZ27" s="28"/>
      <c r="JGB27" s="55"/>
      <c r="JGC27" s="53"/>
      <c r="JGG27" s="28"/>
      <c r="JGI27" s="55"/>
      <c r="JGJ27" s="53"/>
      <c r="JGN27" s="28"/>
      <c r="JGP27" s="55"/>
      <c r="JGQ27" s="53"/>
      <c r="JGU27" s="28"/>
      <c r="JGW27" s="55"/>
      <c r="JGX27" s="53"/>
      <c r="JHB27" s="28"/>
      <c r="JHD27" s="55"/>
      <c r="JHE27" s="53"/>
      <c r="JHI27" s="28"/>
      <c r="JHK27" s="55"/>
      <c r="JHL27" s="53"/>
      <c r="JHP27" s="28"/>
      <c r="JHR27" s="55"/>
      <c r="JHS27" s="53"/>
      <c r="JHW27" s="28"/>
      <c r="JHY27" s="55"/>
      <c r="JHZ27" s="53"/>
      <c r="JID27" s="28"/>
      <c r="JIF27" s="55"/>
      <c r="JIG27" s="53"/>
      <c r="JIK27" s="28"/>
      <c r="JIM27" s="55"/>
      <c r="JIN27" s="53"/>
      <c r="JIR27" s="28"/>
      <c r="JIT27" s="55"/>
      <c r="JIU27" s="53"/>
      <c r="JIY27" s="28"/>
      <c r="JJA27" s="55"/>
      <c r="JJB27" s="53"/>
      <c r="JJF27" s="28"/>
      <c r="JJH27" s="55"/>
      <c r="JJI27" s="53"/>
      <c r="JJM27" s="28"/>
      <c r="JJO27" s="55"/>
      <c r="JJP27" s="53"/>
      <c r="JJT27" s="28"/>
      <c r="JJV27" s="55"/>
      <c r="JJW27" s="53"/>
      <c r="JKA27" s="28"/>
      <c r="JKC27" s="55"/>
      <c r="JKD27" s="53"/>
      <c r="JKH27" s="28"/>
      <c r="JKJ27" s="55"/>
      <c r="JKK27" s="53"/>
      <c r="JKO27" s="28"/>
      <c r="JKQ27" s="55"/>
      <c r="JKR27" s="53"/>
      <c r="JKV27" s="28"/>
      <c r="JKX27" s="55"/>
      <c r="JKY27" s="53"/>
      <c r="JLC27" s="28"/>
      <c r="JLE27" s="55"/>
      <c r="JLF27" s="53"/>
      <c r="JLJ27" s="28"/>
      <c r="JLL27" s="55"/>
      <c r="JLM27" s="53"/>
      <c r="JLQ27" s="28"/>
      <c r="JLS27" s="55"/>
      <c r="JLT27" s="53"/>
      <c r="JLX27" s="28"/>
      <c r="JLZ27" s="55"/>
      <c r="JMA27" s="53"/>
      <c r="JME27" s="28"/>
      <c r="JMG27" s="55"/>
      <c r="JMH27" s="53"/>
      <c r="JML27" s="28"/>
      <c r="JMN27" s="55"/>
      <c r="JMO27" s="53"/>
      <c r="JMS27" s="28"/>
      <c r="JMU27" s="55"/>
      <c r="JMV27" s="53"/>
      <c r="JMZ27" s="28"/>
      <c r="JNB27" s="55"/>
      <c r="JNC27" s="53"/>
      <c r="JNG27" s="28"/>
      <c r="JNI27" s="55"/>
      <c r="JNJ27" s="53"/>
      <c r="JNN27" s="28"/>
      <c r="JNP27" s="55"/>
      <c r="JNQ27" s="53"/>
      <c r="JNU27" s="28"/>
      <c r="JNW27" s="55"/>
      <c r="JNX27" s="53"/>
      <c r="JOB27" s="28"/>
      <c r="JOD27" s="55"/>
      <c r="JOE27" s="53"/>
      <c r="JOI27" s="28"/>
      <c r="JOK27" s="55"/>
      <c r="JOL27" s="53"/>
      <c r="JOP27" s="28"/>
      <c r="JOR27" s="55"/>
      <c r="JOS27" s="53"/>
      <c r="JOW27" s="28"/>
      <c r="JOY27" s="55"/>
      <c r="JOZ27" s="53"/>
      <c r="JPD27" s="28"/>
      <c r="JPF27" s="55"/>
      <c r="JPG27" s="53"/>
      <c r="JPK27" s="28"/>
      <c r="JPM27" s="55"/>
      <c r="JPN27" s="53"/>
      <c r="JPR27" s="28"/>
      <c r="JPT27" s="55"/>
      <c r="JPU27" s="53"/>
      <c r="JPY27" s="28"/>
      <c r="JQA27" s="55"/>
      <c r="JQB27" s="53"/>
      <c r="JQF27" s="28"/>
      <c r="JQH27" s="55"/>
      <c r="JQI27" s="53"/>
      <c r="JQM27" s="28"/>
      <c r="JQO27" s="55"/>
      <c r="JQP27" s="53"/>
      <c r="JQT27" s="28"/>
      <c r="JQV27" s="55"/>
      <c r="JQW27" s="53"/>
      <c r="JRA27" s="28"/>
      <c r="JRC27" s="55"/>
      <c r="JRD27" s="53"/>
      <c r="JRH27" s="28"/>
      <c r="JRJ27" s="55"/>
      <c r="JRK27" s="53"/>
      <c r="JRO27" s="28"/>
      <c r="JRQ27" s="55"/>
      <c r="JRR27" s="53"/>
      <c r="JRV27" s="28"/>
      <c r="JRX27" s="55"/>
      <c r="JRY27" s="53"/>
      <c r="JSC27" s="28"/>
      <c r="JSE27" s="55"/>
      <c r="JSF27" s="53"/>
      <c r="JSJ27" s="28"/>
      <c r="JSL27" s="55"/>
      <c r="JSM27" s="53"/>
      <c r="JSQ27" s="28"/>
      <c r="JSS27" s="55"/>
      <c r="JST27" s="53"/>
      <c r="JSX27" s="28"/>
      <c r="JSZ27" s="55"/>
      <c r="JTA27" s="53"/>
      <c r="JTE27" s="28"/>
      <c r="JTG27" s="55"/>
      <c r="JTH27" s="53"/>
      <c r="JTL27" s="28"/>
      <c r="JTN27" s="55"/>
      <c r="JTO27" s="53"/>
      <c r="JTS27" s="28"/>
      <c r="JTU27" s="55"/>
      <c r="JTV27" s="53"/>
      <c r="JTZ27" s="28"/>
      <c r="JUB27" s="55"/>
      <c r="JUC27" s="53"/>
      <c r="JUG27" s="28"/>
      <c r="JUI27" s="55"/>
      <c r="JUJ27" s="53"/>
      <c r="JUN27" s="28"/>
      <c r="JUP27" s="55"/>
      <c r="JUQ27" s="53"/>
      <c r="JUU27" s="28"/>
      <c r="JUW27" s="55"/>
      <c r="JUX27" s="53"/>
      <c r="JVB27" s="28"/>
      <c r="JVD27" s="55"/>
      <c r="JVE27" s="53"/>
      <c r="JVI27" s="28"/>
      <c r="JVK27" s="55"/>
      <c r="JVL27" s="53"/>
      <c r="JVP27" s="28"/>
      <c r="JVR27" s="55"/>
      <c r="JVS27" s="53"/>
      <c r="JVW27" s="28"/>
      <c r="JVY27" s="55"/>
      <c r="JVZ27" s="53"/>
      <c r="JWD27" s="28"/>
      <c r="JWF27" s="55"/>
      <c r="JWG27" s="53"/>
      <c r="JWK27" s="28"/>
      <c r="JWM27" s="55"/>
      <c r="JWN27" s="53"/>
      <c r="JWR27" s="28"/>
      <c r="JWT27" s="55"/>
      <c r="JWU27" s="53"/>
      <c r="JWY27" s="28"/>
      <c r="JXA27" s="55"/>
      <c r="JXB27" s="53"/>
      <c r="JXF27" s="28"/>
      <c r="JXH27" s="55"/>
      <c r="JXI27" s="53"/>
      <c r="JXM27" s="28"/>
      <c r="JXO27" s="55"/>
      <c r="JXP27" s="53"/>
      <c r="JXT27" s="28"/>
      <c r="JXV27" s="55"/>
      <c r="JXW27" s="53"/>
      <c r="JYA27" s="28"/>
      <c r="JYC27" s="55"/>
      <c r="JYD27" s="53"/>
      <c r="JYH27" s="28"/>
      <c r="JYJ27" s="55"/>
      <c r="JYK27" s="53"/>
      <c r="JYO27" s="28"/>
      <c r="JYQ27" s="55"/>
      <c r="JYR27" s="53"/>
      <c r="JYV27" s="28"/>
      <c r="JYX27" s="55"/>
      <c r="JYY27" s="53"/>
      <c r="JZC27" s="28"/>
      <c r="JZE27" s="55"/>
      <c r="JZF27" s="53"/>
      <c r="JZJ27" s="28"/>
      <c r="JZL27" s="55"/>
      <c r="JZM27" s="53"/>
      <c r="JZQ27" s="28"/>
      <c r="JZS27" s="55"/>
      <c r="JZT27" s="53"/>
      <c r="JZX27" s="28"/>
      <c r="JZZ27" s="55"/>
      <c r="KAA27" s="53"/>
      <c r="KAE27" s="28"/>
      <c r="KAG27" s="55"/>
      <c r="KAH27" s="53"/>
      <c r="KAL27" s="28"/>
      <c r="KAN27" s="55"/>
      <c r="KAO27" s="53"/>
      <c r="KAS27" s="28"/>
      <c r="KAU27" s="55"/>
      <c r="KAV27" s="53"/>
      <c r="KAZ27" s="28"/>
      <c r="KBB27" s="55"/>
      <c r="KBC27" s="53"/>
      <c r="KBG27" s="28"/>
      <c r="KBI27" s="55"/>
      <c r="KBJ27" s="53"/>
      <c r="KBN27" s="28"/>
      <c r="KBP27" s="55"/>
      <c r="KBQ27" s="53"/>
      <c r="KBU27" s="28"/>
      <c r="KBW27" s="55"/>
      <c r="KBX27" s="53"/>
      <c r="KCB27" s="28"/>
      <c r="KCD27" s="55"/>
      <c r="KCE27" s="53"/>
      <c r="KCI27" s="28"/>
      <c r="KCK27" s="55"/>
      <c r="KCL27" s="53"/>
      <c r="KCP27" s="28"/>
      <c r="KCR27" s="55"/>
      <c r="KCS27" s="53"/>
      <c r="KCW27" s="28"/>
      <c r="KCY27" s="55"/>
      <c r="KCZ27" s="53"/>
      <c r="KDD27" s="28"/>
      <c r="KDF27" s="55"/>
      <c r="KDG27" s="53"/>
      <c r="KDK27" s="28"/>
      <c r="KDM27" s="55"/>
      <c r="KDN27" s="53"/>
      <c r="KDR27" s="28"/>
      <c r="KDT27" s="55"/>
      <c r="KDU27" s="53"/>
      <c r="KDY27" s="28"/>
      <c r="KEA27" s="55"/>
      <c r="KEB27" s="53"/>
      <c r="KEF27" s="28"/>
      <c r="KEH27" s="55"/>
      <c r="KEI27" s="53"/>
      <c r="KEM27" s="28"/>
      <c r="KEO27" s="55"/>
      <c r="KEP27" s="53"/>
      <c r="KET27" s="28"/>
      <c r="KEV27" s="55"/>
      <c r="KEW27" s="53"/>
      <c r="KFA27" s="28"/>
      <c r="KFC27" s="55"/>
      <c r="KFD27" s="53"/>
      <c r="KFH27" s="28"/>
      <c r="KFJ27" s="55"/>
      <c r="KFK27" s="53"/>
      <c r="KFO27" s="28"/>
      <c r="KFQ27" s="55"/>
      <c r="KFR27" s="53"/>
      <c r="KFV27" s="28"/>
      <c r="KFX27" s="55"/>
      <c r="KFY27" s="53"/>
      <c r="KGC27" s="28"/>
      <c r="KGE27" s="55"/>
      <c r="KGF27" s="53"/>
      <c r="KGJ27" s="28"/>
      <c r="KGL27" s="55"/>
      <c r="KGM27" s="53"/>
      <c r="KGQ27" s="28"/>
      <c r="KGS27" s="55"/>
      <c r="KGT27" s="53"/>
      <c r="KGX27" s="28"/>
      <c r="KGZ27" s="55"/>
      <c r="KHA27" s="53"/>
      <c r="KHE27" s="28"/>
      <c r="KHG27" s="55"/>
      <c r="KHH27" s="53"/>
      <c r="KHL27" s="28"/>
      <c r="KHN27" s="55"/>
      <c r="KHO27" s="53"/>
      <c r="KHS27" s="28"/>
      <c r="KHU27" s="55"/>
      <c r="KHV27" s="53"/>
      <c r="KHZ27" s="28"/>
      <c r="KIB27" s="55"/>
      <c r="KIC27" s="53"/>
      <c r="KIG27" s="28"/>
      <c r="KII27" s="55"/>
      <c r="KIJ27" s="53"/>
      <c r="KIN27" s="28"/>
      <c r="KIP27" s="55"/>
      <c r="KIQ27" s="53"/>
      <c r="KIU27" s="28"/>
      <c r="KIW27" s="55"/>
      <c r="KIX27" s="53"/>
      <c r="KJB27" s="28"/>
      <c r="KJD27" s="55"/>
      <c r="KJE27" s="53"/>
      <c r="KJI27" s="28"/>
      <c r="KJK27" s="55"/>
      <c r="KJL27" s="53"/>
      <c r="KJP27" s="28"/>
      <c r="KJR27" s="55"/>
      <c r="KJS27" s="53"/>
      <c r="KJW27" s="28"/>
      <c r="KJY27" s="55"/>
      <c r="KJZ27" s="53"/>
      <c r="KKD27" s="28"/>
      <c r="KKF27" s="55"/>
      <c r="KKG27" s="53"/>
      <c r="KKK27" s="28"/>
      <c r="KKM27" s="55"/>
      <c r="KKN27" s="53"/>
      <c r="KKR27" s="28"/>
      <c r="KKT27" s="55"/>
      <c r="KKU27" s="53"/>
      <c r="KKY27" s="28"/>
      <c r="KLA27" s="55"/>
      <c r="KLB27" s="53"/>
      <c r="KLF27" s="28"/>
      <c r="KLH27" s="55"/>
      <c r="KLI27" s="53"/>
      <c r="KLM27" s="28"/>
      <c r="KLO27" s="55"/>
      <c r="KLP27" s="53"/>
      <c r="KLT27" s="28"/>
      <c r="KLV27" s="55"/>
      <c r="KLW27" s="53"/>
      <c r="KMA27" s="28"/>
      <c r="KMC27" s="55"/>
      <c r="KMD27" s="53"/>
      <c r="KMH27" s="28"/>
      <c r="KMJ27" s="55"/>
      <c r="KMK27" s="53"/>
      <c r="KMO27" s="28"/>
      <c r="KMQ27" s="55"/>
      <c r="KMR27" s="53"/>
      <c r="KMV27" s="28"/>
      <c r="KMX27" s="55"/>
      <c r="KMY27" s="53"/>
      <c r="KNC27" s="28"/>
      <c r="KNE27" s="55"/>
      <c r="KNF27" s="53"/>
      <c r="KNJ27" s="28"/>
      <c r="KNL27" s="55"/>
      <c r="KNM27" s="53"/>
      <c r="KNQ27" s="28"/>
      <c r="KNS27" s="55"/>
      <c r="KNT27" s="53"/>
      <c r="KNX27" s="28"/>
      <c r="KNZ27" s="55"/>
      <c r="KOA27" s="53"/>
      <c r="KOE27" s="28"/>
      <c r="KOG27" s="55"/>
      <c r="KOH27" s="53"/>
      <c r="KOL27" s="28"/>
      <c r="KON27" s="55"/>
      <c r="KOO27" s="53"/>
      <c r="KOS27" s="28"/>
      <c r="KOU27" s="55"/>
      <c r="KOV27" s="53"/>
      <c r="KOZ27" s="28"/>
      <c r="KPB27" s="55"/>
      <c r="KPC27" s="53"/>
      <c r="KPG27" s="28"/>
      <c r="KPI27" s="55"/>
      <c r="KPJ27" s="53"/>
      <c r="KPN27" s="28"/>
      <c r="KPP27" s="55"/>
      <c r="KPQ27" s="53"/>
      <c r="KPU27" s="28"/>
      <c r="KPW27" s="55"/>
      <c r="KPX27" s="53"/>
      <c r="KQB27" s="28"/>
      <c r="KQD27" s="55"/>
      <c r="KQE27" s="53"/>
      <c r="KQI27" s="28"/>
      <c r="KQK27" s="55"/>
      <c r="KQL27" s="53"/>
      <c r="KQP27" s="28"/>
      <c r="KQR27" s="55"/>
      <c r="KQS27" s="53"/>
      <c r="KQW27" s="28"/>
      <c r="KQY27" s="55"/>
      <c r="KQZ27" s="53"/>
      <c r="KRD27" s="28"/>
      <c r="KRF27" s="55"/>
      <c r="KRG27" s="53"/>
      <c r="KRK27" s="28"/>
      <c r="KRM27" s="55"/>
      <c r="KRN27" s="53"/>
      <c r="KRR27" s="28"/>
      <c r="KRT27" s="55"/>
      <c r="KRU27" s="53"/>
      <c r="KRY27" s="28"/>
      <c r="KSA27" s="55"/>
      <c r="KSB27" s="53"/>
      <c r="KSF27" s="28"/>
      <c r="KSH27" s="55"/>
      <c r="KSI27" s="53"/>
      <c r="KSM27" s="28"/>
      <c r="KSO27" s="55"/>
      <c r="KSP27" s="53"/>
      <c r="KST27" s="28"/>
      <c r="KSV27" s="55"/>
      <c r="KSW27" s="53"/>
      <c r="KTA27" s="28"/>
      <c r="KTC27" s="55"/>
      <c r="KTD27" s="53"/>
      <c r="KTH27" s="28"/>
      <c r="KTJ27" s="55"/>
      <c r="KTK27" s="53"/>
      <c r="KTO27" s="28"/>
      <c r="KTQ27" s="55"/>
      <c r="KTR27" s="53"/>
      <c r="KTV27" s="28"/>
      <c r="KTX27" s="55"/>
      <c r="KTY27" s="53"/>
      <c r="KUC27" s="28"/>
      <c r="KUE27" s="55"/>
      <c r="KUF27" s="53"/>
      <c r="KUJ27" s="28"/>
      <c r="KUL27" s="55"/>
      <c r="KUM27" s="53"/>
      <c r="KUQ27" s="28"/>
      <c r="KUS27" s="55"/>
      <c r="KUT27" s="53"/>
      <c r="KUX27" s="28"/>
      <c r="KUZ27" s="55"/>
      <c r="KVA27" s="53"/>
      <c r="KVE27" s="28"/>
      <c r="KVG27" s="55"/>
      <c r="KVH27" s="53"/>
      <c r="KVL27" s="28"/>
      <c r="KVN27" s="55"/>
      <c r="KVO27" s="53"/>
      <c r="KVS27" s="28"/>
      <c r="KVU27" s="55"/>
      <c r="KVV27" s="53"/>
      <c r="KVZ27" s="28"/>
      <c r="KWB27" s="55"/>
      <c r="KWC27" s="53"/>
      <c r="KWG27" s="28"/>
      <c r="KWI27" s="55"/>
      <c r="KWJ27" s="53"/>
      <c r="KWN27" s="28"/>
      <c r="KWP27" s="55"/>
      <c r="KWQ27" s="53"/>
      <c r="KWU27" s="28"/>
      <c r="KWW27" s="55"/>
      <c r="KWX27" s="53"/>
      <c r="KXB27" s="28"/>
      <c r="KXD27" s="55"/>
      <c r="KXE27" s="53"/>
      <c r="KXI27" s="28"/>
      <c r="KXK27" s="55"/>
      <c r="KXL27" s="53"/>
      <c r="KXP27" s="28"/>
      <c r="KXR27" s="55"/>
      <c r="KXS27" s="53"/>
      <c r="KXW27" s="28"/>
      <c r="KXY27" s="55"/>
      <c r="KXZ27" s="53"/>
      <c r="KYD27" s="28"/>
      <c r="KYF27" s="55"/>
      <c r="KYG27" s="53"/>
      <c r="KYK27" s="28"/>
      <c r="KYM27" s="55"/>
      <c r="KYN27" s="53"/>
      <c r="KYR27" s="28"/>
      <c r="KYT27" s="55"/>
      <c r="KYU27" s="53"/>
      <c r="KYY27" s="28"/>
      <c r="KZA27" s="55"/>
      <c r="KZB27" s="53"/>
      <c r="KZF27" s="28"/>
      <c r="KZH27" s="55"/>
      <c r="KZI27" s="53"/>
      <c r="KZM27" s="28"/>
      <c r="KZO27" s="55"/>
      <c r="KZP27" s="53"/>
      <c r="KZT27" s="28"/>
      <c r="KZV27" s="55"/>
      <c r="KZW27" s="53"/>
      <c r="LAA27" s="28"/>
      <c r="LAC27" s="55"/>
      <c r="LAD27" s="53"/>
      <c r="LAH27" s="28"/>
      <c r="LAJ27" s="55"/>
      <c r="LAK27" s="53"/>
      <c r="LAO27" s="28"/>
      <c r="LAQ27" s="55"/>
      <c r="LAR27" s="53"/>
      <c r="LAV27" s="28"/>
      <c r="LAX27" s="55"/>
      <c r="LAY27" s="53"/>
      <c r="LBC27" s="28"/>
      <c r="LBE27" s="55"/>
      <c r="LBF27" s="53"/>
      <c r="LBJ27" s="28"/>
      <c r="LBL27" s="55"/>
      <c r="LBM27" s="53"/>
      <c r="LBQ27" s="28"/>
      <c r="LBS27" s="55"/>
      <c r="LBT27" s="53"/>
      <c r="LBX27" s="28"/>
      <c r="LBZ27" s="55"/>
      <c r="LCA27" s="53"/>
      <c r="LCE27" s="28"/>
      <c r="LCG27" s="55"/>
      <c r="LCH27" s="53"/>
      <c r="LCL27" s="28"/>
      <c r="LCN27" s="55"/>
      <c r="LCO27" s="53"/>
      <c r="LCS27" s="28"/>
      <c r="LCU27" s="55"/>
      <c r="LCV27" s="53"/>
      <c r="LCZ27" s="28"/>
      <c r="LDB27" s="55"/>
      <c r="LDC27" s="53"/>
      <c r="LDG27" s="28"/>
      <c r="LDI27" s="55"/>
      <c r="LDJ27" s="53"/>
      <c r="LDN27" s="28"/>
      <c r="LDP27" s="55"/>
      <c r="LDQ27" s="53"/>
      <c r="LDU27" s="28"/>
      <c r="LDW27" s="55"/>
      <c r="LDX27" s="53"/>
      <c r="LEB27" s="28"/>
      <c r="LED27" s="55"/>
      <c r="LEE27" s="53"/>
      <c r="LEI27" s="28"/>
      <c r="LEK27" s="55"/>
      <c r="LEL27" s="53"/>
      <c r="LEP27" s="28"/>
      <c r="LER27" s="55"/>
      <c r="LES27" s="53"/>
      <c r="LEW27" s="28"/>
      <c r="LEY27" s="55"/>
      <c r="LEZ27" s="53"/>
      <c r="LFD27" s="28"/>
      <c r="LFF27" s="55"/>
      <c r="LFG27" s="53"/>
      <c r="LFK27" s="28"/>
      <c r="LFM27" s="55"/>
      <c r="LFN27" s="53"/>
      <c r="LFR27" s="28"/>
      <c r="LFT27" s="55"/>
      <c r="LFU27" s="53"/>
      <c r="LFY27" s="28"/>
      <c r="LGA27" s="55"/>
      <c r="LGB27" s="53"/>
      <c r="LGF27" s="28"/>
      <c r="LGH27" s="55"/>
      <c r="LGI27" s="53"/>
      <c r="LGM27" s="28"/>
      <c r="LGO27" s="55"/>
      <c r="LGP27" s="53"/>
      <c r="LGT27" s="28"/>
      <c r="LGV27" s="55"/>
      <c r="LGW27" s="53"/>
      <c r="LHA27" s="28"/>
      <c r="LHC27" s="55"/>
      <c r="LHD27" s="53"/>
      <c r="LHH27" s="28"/>
      <c r="LHJ27" s="55"/>
      <c r="LHK27" s="53"/>
      <c r="LHO27" s="28"/>
      <c r="LHQ27" s="55"/>
      <c r="LHR27" s="53"/>
      <c r="LHV27" s="28"/>
      <c r="LHX27" s="55"/>
      <c r="LHY27" s="53"/>
      <c r="LIC27" s="28"/>
      <c r="LIE27" s="55"/>
      <c r="LIF27" s="53"/>
      <c r="LIJ27" s="28"/>
      <c r="LIL27" s="55"/>
      <c r="LIM27" s="53"/>
      <c r="LIQ27" s="28"/>
      <c r="LIS27" s="55"/>
      <c r="LIT27" s="53"/>
      <c r="LIX27" s="28"/>
      <c r="LIZ27" s="55"/>
      <c r="LJA27" s="53"/>
      <c r="LJE27" s="28"/>
      <c r="LJG27" s="55"/>
      <c r="LJH27" s="53"/>
      <c r="LJL27" s="28"/>
      <c r="LJN27" s="55"/>
      <c r="LJO27" s="53"/>
      <c r="LJS27" s="28"/>
      <c r="LJU27" s="55"/>
      <c r="LJV27" s="53"/>
      <c r="LJZ27" s="28"/>
      <c r="LKB27" s="55"/>
      <c r="LKC27" s="53"/>
      <c r="LKG27" s="28"/>
      <c r="LKI27" s="55"/>
      <c r="LKJ27" s="53"/>
      <c r="LKN27" s="28"/>
      <c r="LKP27" s="55"/>
      <c r="LKQ27" s="53"/>
      <c r="LKU27" s="28"/>
      <c r="LKW27" s="55"/>
      <c r="LKX27" s="53"/>
      <c r="LLB27" s="28"/>
      <c r="LLD27" s="55"/>
      <c r="LLE27" s="53"/>
      <c r="LLI27" s="28"/>
      <c r="LLK27" s="55"/>
      <c r="LLL27" s="53"/>
      <c r="LLP27" s="28"/>
      <c r="LLR27" s="55"/>
      <c r="LLS27" s="53"/>
      <c r="LLW27" s="28"/>
      <c r="LLY27" s="55"/>
      <c r="LLZ27" s="53"/>
      <c r="LMD27" s="28"/>
      <c r="LMF27" s="55"/>
      <c r="LMG27" s="53"/>
      <c r="LMK27" s="28"/>
      <c r="LMM27" s="55"/>
      <c r="LMN27" s="53"/>
      <c r="LMR27" s="28"/>
      <c r="LMT27" s="55"/>
      <c r="LMU27" s="53"/>
      <c r="LMY27" s="28"/>
      <c r="LNA27" s="55"/>
      <c r="LNB27" s="53"/>
      <c r="LNF27" s="28"/>
      <c r="LNH27" s="55"/>
      <c r="LNI27" s="53"/>
      <c r="LNM27" s="28"/>
      <c r="LNO27" s="55"/>
      <c r="LNP27" s="53"/>
      <c r="LNT27" s="28"/>
      <c r="LNV27" s="55"/>
      <c r="LNW27" s="53"/>
      <c r="LOA27" s="28"/>
      <c r="LOC27" s="55"/>
      <c r="LOD27" s="53"/>
      <c r="LOH27" s="28"/>
      <c r="LOJ27" s="55"/>
      <c r="LOK27" s="53"/>
      <c r="LOO27" s="28"/>
      <c r="LOQ27" s="55"/>
      <c r="LOR27" s="53"/>
      <c r="LOV27" s="28"/>
      <c r="LOX27" s="55"/>
      <c r="LOY27" s="53"/>
      <c r="LPC27" s="28"/>
      <c r="LPE27" s="55"/>
      <c r="LPF27" s="53"/>
      <c r="LPJ27" s="28"/>
      <c r="LPL27" s="55"/>
      <c r="LPM27" s="53"/>
      <c r="LPQ27" s="28"/>
      <c r="LPS27" s="55"/>
      <c r="LPT27" s="53"/>
      <c r="LPX27" s="28"/>
      <c r="LPZ27" s="55"/>
      <c r="LQA27" s="53"/>
      <c r="LQE27" s="28"/>
      <c r="LQG27" s="55"/>
      <c r="LQH27" s="53"/>
      <c r="LQL27" s="28"/>
      <c r="LQN27" s="55"/>
      <c r="LQO27" s="53"/>
      <c r="LQS27" s="28"/>
      <c r="LQU27" s="55"/>
      <c r="LQV27" s="53"/>
      <c r="LQZ27" s="28"/>
      <c r="LRB27" s="55"/>
      <c r="LRC27" s="53"/>
      <c r="LRG27" s="28"/>
      <c r="LRI27" s="55"/>
      <c r="LRJ27" s="53"/>
      <c r="LRN27" s="28"/>
      <c r="LRP27" s="55"/>
      <c r="LRQ27" s="53"/>
      <c r="LRU27" s="28"/>
      <c r="LRW27" s="55"/>
      <c r="LRX27" s="53"/>
      <c r="LSB27" s="28"/>
      <c r="LSD27" s="55"/>
      <c r="LSE27" s="53"/>
      <c r="LSI27" s="28"/>
      <c r="LSK27" s="55"/>
      <c r="LSL27" s="53"/>
      <c r="LSP27" s="28"/>
      <c r="LSR27" s="55"/>
      <c r="LSS27" s="53"/>
      <c r="LSW27" s="28"/>
      <c r="LSY27" s="55"/>
      <c r="LSZ27" s="53"/>
      <c r="LTD27" s="28"/>
      <c r="LTF27" s="55"/>
      <c r="LTG27" s="53"/>
      <c r="LTK27" s="28"/>
      <c r="LTM27" s="55"/>
      <c r="LTN27" s="53"/>
      <c r="LTR27" s="28"/>
      <c r="LTT27" s="55"/>
      <c r="LTU27" s="53"/>
      <c r="LTY27" s="28"/>
      <c r="LUA27" s="55"/>
      <c r="LUB27" s="53"/>
      <c r="LUF27" s="28"/>
      <c r="LUH27" s="55"/>
      <c r="LUI27" s="53"/>
      <c r="LUM27" s="28"/>
      <c r="LUO27" s="55"/>
      <c r="LUP27" s="53"/>
      <c r="LUT27" s="28"/>
      <c r="LUV27" s="55"/>
      <c r="LUW27" s="53"/>
      <c r="LVA27" s="28"/>
      <c r="LVC27" s="55"/>
      <c r="LVD27" s="53"/>
      <c r="LVH27" s="28"/>
      <c r="LVJ27" s="55"/>
      <c r="LVK27" s="53"/>
      <c r="LVO27" s="28"/>
      <c r="LVQ27" s="55"/>
      <c r="LVR27" s="53"/>
      <c r="LVV27" s="28"/>
      <c r="LVX27" s="55"/>
      <c r="LVY27" s="53"/>
      <c r="LWC27" s="28"/>
      <c r="LWE27" s="55"/>
      <c r="LWF27" s="53"/>
      <c r="LWJ27" s="28"/>
      <c r="LWL27" s="55"/>
      <c r="LWM27" s="53"/>
      <c r="LWQ27" s="28"/>
      <c r="LWS27" s="55"/>
      <c r="LWT27" s="53"/>
      <c r="LWX27" s="28"/>
      <c r="LWZ27" s="55"/>
      <c r="LXA27" s="53"/>
      <c r="LXE27" s="28"/>
      <c r="LXG27" s="55"/>
      <c r="LXH27" s="53"/>
      <c r="LXL27" s="28"/>
      <c r="LXN27" s="55"/>
      <c r="LXO27" s="53"/>
      <c r="LXS27" s="28"/>
      <c r="LXU27" s="55"/>
      <c r="LXV27" s="53"/>
      <c r="LXZ27" s="28"/>
      <c r="LYB27" s="55"/>
      <c r="LYC27" s="53"/>
      <c r="LYG27" s="28"/>
      <c r="LYI27" s="55"/>
      <c r="LYJ27" s="53"/>
      <c r="LYN27" s="28"/>
      <c r="LYP27" s="55"/>
      <c r="LYQ27" s="53"/>
      <c r="LYU27" s="28"/>
      <c r="LYW27" s="55"/>
      <c r="LYX27" s="53"/>
      <c r="LZB27" s="28"/>
      <c r="LZD27" s="55"/>
      <c r="LZE27" s="53"/>
      <c r="LZI27" s="28"/>
      <c r="LZK27" s="55"/>
      <c r="LZL27" s="53"/>
      <c r="LZP27" s="28"/>
      <c r="LZR27" s="55"/>
      <c r="LZS27" s="53"/>
      <c r="LZW27" s="28"/>
      <c r="LZY27" s="55"/>
      <c r="LZZ27" s="53"/>
      <c r="MAD27" s="28"/>
      <c r="MAF27" s="55"/>
      <c r="MAG27" s="53"/>
      <c r="MAK27" s="28"/>
      <c r="MAM27" s="55"/>
      <c r="MAN27" s="53"/>
      <c r="MAR27" s="28"/>
      <c r="MAT27" s="55"/>
      <c r="MAU27" s="53"/>
      <c r="MAY27" s="28"/>
      <c r="MBA27" s="55"/>
      <c r="MBB27" s="53"/>
      <c r="MBF27" s="28"/>
      <c r="MBH27" s="55"/>
      <c r="MBI27" s="53"/>
      <c r="MBM27" s="28"/>
      <c r="MBO27" s="55"/>
      <c r="MBP27" s="53"/>
      <c r="MBT27" s="28"/>
      <c r="MBV27" s="55"/>
      <c r="MBW27" s="53"/>
      <c r="MCA27" s="28"/>
      <c r="MCC27" s="55"/>
      <c r="MCD27" s="53"/>
      <c r="MCH27" s="28"/>
      <c r="MCJ27" s="55"/>
      <c r="MCK27" s="53"/>
      <c r="MCO27" s="28"/>
      <c r="MCQ27" s="55"/>
      <c r="MCR27" s="53"/>
      <c r="MCV27" s="28"/>
      <c r="MCX27" s="55"/>
      <c r="MCY27" s="53"/>
      <c r="MDC27" s="28"/>
      <c r="MDE27" s="55"/>
      <c r="MDF27" s="53"/>
      <c r="MDJ27" s="28"/>
      <c r="MDL27" s="55"/>
      <c r="MDM27" s="53"/>
      <c r="MDQ27" s="28"/>
      <c r="MDS27" s="55"/>
      <c r="MDT27" s="53"/>
      <c r="MDX27" s="28"/>
      <c r="MDZ27" s="55"/>
      <c r="MEA27" s="53"/>
      <c r="MEE27" s="28"/>
      <c r="MEG27" s="55"/>
      <c r="MEH27" s="53"/>
      <c r="MEL27" s="28"/>
      <c r="MEN27" s="55"/>
      <c r="MEO27" s="53"/>
      <c r="MES27" s="28"/>
      <c r="MEU27" s="55"/>
      <c r="MEV27" s="53"/>
      <c r="MEZ27" s="28"/>
      <c r="MFB27" s="55"/>
      <c r="MFC27" s="53"/>
      <c r="MFG27" s="28"/>
      <c r="MFI27" s="55"/>
      <c r="MFJ27" s="53"/>
      <c r="MFN27" s="28"/>
      <c r="MFP27" s="55"/>
      <c r="MFQ27" s="53"/>
      <c r="MFU27" s="28"/>
      <c r="MFW27" s="55"/>
      <c r="MFX27" s="53"/>
      <c r="MGB27" s="28"/>
      <c r="MGD27" s="55"/>
      <c r="MGE27" s="53"/>
      <c r="MGI27" s="28"/>
      <c r="MGK27" s="55"/>
      <c r="MGL27" s="53"/>
      <c r="MGP27" s="28"/>
      <c r="MGR27" s="55"/>
      <c r="MGS27" s="53"/>
      <c r="MGW27" s="28"/>
      <c r="MGY27" s="55"/>
      <c r="MGZ27" s="53"/>
      <c r="MHD27" s="28"/>
      <c r="MHF27" s="55"/>
      <c r="MHG27" s="53"/>
      <c r="MHK27" s="28"/>
      <c r="MHM27" s="55"/>
      <c r="MHN27" s="53"/>
      <c r="MHR27" s="28"/>
      <c r="MHT27" s="55"/>
      <c r="MHU27" s="53"/>
      <c r="MHY27" s="28"/>
      <c r="MIA27" s="55"/>
      <c r="MIB27" s="53"/>
      <c r="MIF27" s="28"/>
      <c r="MIH27" s="55"/>
      <c r="MII27" s="53"/>
      <c r="MIM27" s="28"/>
      <c r="MIO27" s="55"/>
      <c r="MIP27" s="53"/>
      <c r="MIT27" s="28"/>
      <c r="MIV27" s="55"/>
      <c r="MIW27" s="53"/>
      <c r="MJA27" s="28"/>
      <c r="MJC27" s="55"/>
      <c r="MJD27" s="53"/>
      <c r="MJH27" s="28"/>
      <c r="MJJ27" s="55"/>
      <c r="MJK27" s="53"/>
      <c r="MJO27" s="28"/>
      <c r="MJQ27" s="55"/>
      <c r="MJR27" s="53"/>
      <c r="MJV27" s="28"/>
      <c r="MJX27" s="55"/>
      <c r="MJY27" s="53"/>
      <c r="MKC27" s="28"/>
      <c r="MKE27" s="55"/>
      <c r="MKF27" s="53"/>
      <c r="MKJ27" s="28"/>
      <c r="MKL27" s="55"/>
      <c r="MKM27" s="53"/>
      <c r="MKQ27" s="28"/>
      <c r="MKS27" s="55"/>
      <c r="MKT27" s="53"/>
      <c r="MKX27" s="28"/>
      <c r="MKZ27" s="55"/>
      <c r="MLA27" s="53"/>
      <c r="MLE27" s="28"/>
      <c r="MLG27" s="55"/>
      <c r="MLH27" s="53"/>
      <c r="MLL27" s="28"/>
      <c r="MLN27" s="55"/>
      <c r="MLO27" s="53"/>
      <c r="MLS27" s="28"/>
      <c r="MLU27" s="55"/>
      <c r="MLV27" s="53"/>
      <c r="MLZ27" s="28"/>
      <c r="MMB27" s="55"/>
      <c r="MMC27" s="53"/>
      <c r="MMG27" s="28"/>
      <c r="MMI27" s="55"/>
      <c r="MMJ27" s="53"/>
      <c r="MMN27" s="28"/>
      <c r="MMP27" s="55"/>
      <c r="MMQ27" s="53"/>
      <c r="MMU27" s="28"/>
      <c r="MMW27" s="55"/>
      <c r="MMX27" s="53"/>
      <c r="MNB27" s="28"/>
      <c r="MND27" s="55"/>
      <c r="MNE27" s="53"/>
      <c r="MNI27" s="28"/>
      <c r="MNK27" s="55"/>
      <c r="MNL27" s="53"/>
      <c r="MNP27" s="28"/>
      <c r="MNR27" s="55"/>
      <c r="MNS27" s="53"/>
      <c r="MNW27" s="28"/>
      <c r="MNY27" s="55"/>
      <c r="MNZ27" s="53"/>
      <c r="MOD27" s="28"/>
      <c r="MOF27" s="55"/>
      <c r="MOG27" s="53"/>
      <c r="MOK27" s="28"/>
      <c r="MOM27" s="55"/>
      <c r="MON27" s="53"/>
      <c r="MOR27" s="28"/>
      <c r="MOT27" s="55"/>
      <c r="MOU27" s="53"/>
      <c r="MOY27" s="28"/>
      <c r="MPA27" s="55"/>
      <c r="MPB27" s="53"/>
      <c r="MPF27" s="28"/>
      <c r="MPH27" s="55"/>
      <c r="MPI27" s="53"/>
      <c r="MPM27" s="28"/>
      <c r="MPO27" s="55"/>
      <c r="MPP27" s="53"/>
      <c r="MPT27" s="28"/>
      <c r="MPV27" s="55"/>
      <c r="MPW27" s="53"/>
      <c r="MQA27" s="28"/>
      <c r="MQC27" s="55"/>
      <c r="MQD27" s="53"/>
      <c r="MQH27" s="28"/>
      <c r="MQJ27" s="55"/>
      <c r="MQK27" s="53"/>
      <c r="MQO27" s="28"/>
      <c r="MQQ27" s="55"/>
      <c r="MQR27" s="53"/>
      <c r="MQV27" s="28"/>
      <c r="MQX27" s="55"/>
      <c r="MQY27" s="53"/>
      <c r="MRC27" s="28"/>
      <c r="MRE27" s="55"/>
      <c r="MRF27" s="53"/>
      <c r="MRJ27" s="28"/>
      <c r="MRL27" s="55"/>
      <c r="MRM27" s="53"/>
      <c r="MRQ27" s="28"/>
      <c r="MRS27" s="55"/>
      <c r="MRT27" s="53"/>
      <c r="MRX27" s="28"/>
      <c r="MRZ27" s="55"/>
      <c r="MSA27" s="53"/>
      <c r="MSE27" s="28"/>
      <c r="MSG27" s="55"/>
      <c r="MSH27" s="53"/>
      <c r="MSL27" s="28"/>
      <c r="MSN27" s="55"/>
      <c r="MSO27" s="53"/>
      <c r="MSS27" s="28"/>
      <c r="MSU27" s="55"/>
      <c r="MSV27" s="53"/>
      <c r="MSZ27" s="28"/>
      <c r="MTB27" s="55"/>
      <c r="MTC27" s="53"/>
      <c r="MTG27" s="28"/>
      <c r="MTI27" s="55"/>
      <c r="MTJ27" s="53"/>
      <c r="MTN27" s="28"/>
      <c r="MTP27" s="55"/>
      <c r="MTQ27" s="53"/>
      <c r="MTU27" s="28"/>
      <c r="MTW27" s="55"/>
      <c r="MTX27" s="53"/>
      <c r="MUB27" s="28"/>
      <c r="MUD27" s="55"/>
      <c r="MUE27" s="53"/>
      <c r="MUI27" s="28"/>
      <c r="MUK27" s="55"/>
      <c r="MUL27" s="53"/>
      <c r="MUP27" s="28"/>
      <c r="MUR27" s="55"/>
      <c r="MUS27" s="53"/>
      <c r="MUW27" s="28"/>
      <c r="MUY27" s="55"/>
      <c r="MUZ27" s="53"/>
      <c r="MVD27" s="28"/>
      <c r="MVF27" s="55"/>
      <c r="MVG27" s="53"/>
      <c r="MVK27" s="28"/>
      <c r="MVM27" s="55"/>
      <c r="MVN27" s="53"/>
      <c r="MVR27" s="28"/>
      <c r="MVT27" s="55"/>
      <c r="MVU27" s="53"/>
      <c r="MVY27" s="28"/>
      <c r="MWA27" s="55"/>
      <c r="MWB27" s="53"/>
      <c r="MWF27" s="28"/>
      <c r="MWH27" s="55"/>
      <c r="MWI27" s="53"/>
      <c r="MWM27" s="28"/>
      <c r="MWO27" s="55"/>
      <c r="MWP27" s="53"/>
      <c r="MWT27" s="28"/>
      <c r="MWV27" s="55"/>
      <c r="MWW27" s="53"/>
      <c r="MXA27" s="28"/>
      <c r="MXC27" s="55"/>
      <c r="MXD27" s="53"/>
      <c r="MXH27" s="28"/>
      <c r="MXJ27" s="55"/>
      <c r="MXK27" s="53"/>
      <c r="MXO27" s="28"/>
      <c r="MXQ27" s="55"/>
      <c r="MXR27" s="53"/>
      <c r="MXV27" s="28"/>
      <c r="MXX27" s="55"/>
      <c r="MXY27" s="53"/>
      <c r="MYC27" s="28"/>
      <c r="MYE27" s="55"/>
      <c r="MYF27" s="53"/>
      <c r="MYJ27" s="28"/>
      <c r="MYL27" s="55"/>
      <c r="MYM27" s="53"/>
      <c r="MYQ27" s="28"/>
      <c r="MYS27" s="55"/>
      <c r="MYT27" s="53"/>
      <c r="MYX27" s="28"/>
      <c r="MYZ27" s="55"/>
      <c r="MZA27" s="53"/>
      <c r="MZE27" s="28"/>
      <c r="MZG27" s="55"/>
      <c r="MZH27" s="53"/>
      <c r="MZL27" s="28"/>
      <c r="MZN27" s="55"/>
      <c r="MZO27" s="53"/>
      <c r="MZS27" s="28"/>
      <c r="MZU27" s="55"/>
      <c r="MZV27" s="53"/>
      <c r="MZZ27" s="28"/>
      <c r="NAB27" s="55"/>
      <c r="NAC27" s="53"/>
      <c r="NAG27" s="28"/>
      <c r="NAI27" s="55"/>
      <c r="NAJ27" s="53"/>
      <c r="NAN27" s="28"/>
      <c r="NAP27" s="55"/>
      <c r="NAQ27" s="53"/>
      <c r="NAU27" s="28"/>
      <c r="NAW27" s="55"/>
      <c r="NAX27" s="53"/>
      <c r="NBB27" s="28"/>
      <c r="NBD27" s="55"/>
      <c r="NBE27" s="53"/>
      <c r="NBI27" s="28"/>
      <c r="NBK27" s="55"/>
      <c r="NBL27" s="53"/>
      <c r="NBP27" s="28"/>
      <c r="NBR27" s="55"/>
      <c r="NBS27" s="53"/>
      <c r="NBW27" s="28"/>
      <c r="NBY27" s="55"/>
      <c r="NBZ27" s="53"/>
      <c r="NCD27" s="28"/>
      <c r="NCF27" s="55"/>
      <c r="NCG27" s="53"/>
      <c r="NCK27" s="28"/>
      <c r="NCM27" s="55"/>
      <c r="NCN27" s="53"/>
      <c r="NCR27" s="28"/>
      <c r="NCT27" s="55"/>
      <c r="NCU27" s="53"/>
      <c r="NCY27" s="28"/>
      <c r="NDA27" s="55"/>
      <c r="NDB27" s="53"/>
      <c r="NDF27" s="28"/>
      <c r="NDH27" s="55"/>
      <c r="NDI27" s="53"/>
      <c r="NDM27" s="28"/>
      <c r="NDO27" s="55"/>
      <c r="NDP27" s="53"/>
      <c r="NDT27" s="28"/>
      <c r="NDV27" s="55"/>
      <c r="NDW27" s="53"/>
      <c r="NEA27" s="28"/>
      <c r="NEC27" s="55"/>
      <c r="NED27" s="53"/>
      <c r="NEH27" s="28"/>
      <c r="NEJ27" s="55"/>
      <c r="NEK27" s="53"/>
      <c r="NEO27" s="28"/>
      <c r="NEQ27" s="55"/>
      <c r="NER27" s="53"/>
      <c r="NEV27" s="28"/>
      <c r="NEX27" s="55"/>
      <c r="NEY27" s="53"/>
      <c r="NFC27" s="28"/>
      <c r="NFE27" s="55"/>
      <c r="NFF27" s="53"/>
      <c r="NFJ27" s="28"/>
      <c r="NFL27" s="55"/>
      <c r="NFM27" s="53"/>
      <c r="NFQ27" s="28"/>
      <c r="NFS27" s="55"/>
      <c r="NFT27" s="53"/>
      <c r="NFX27" s="28"/>
      <c r="NFZ27" s="55"/>
      <c r="NGA27" s="53"/>
      <c r="NGE27" s="28"/>
      <c r="NGG27" s="55"/>
      <c r="NGH27" s="53"/>
      <c r="NGL27" s="28"/>
      <c r="NGN27" s="55"/>
      <c r="NGO27" s="53"/>
      <c r="NGS27" s="28"/>
      <c r="NGU27" s="55"/>
      <c r="NGV27" s="53"/>
      <c r="NGZ27" s="28"/>
      <c r="NHB27" s="55"/>
      <c r="NHC27" s="53"/>
      <c r="NHG27" s="28"/>
      <c r="NHI27" s="55"/>
      <c r="NHJ27" s="53"/>
      <c r="NHN27" s="28"/>
      <c r="NHP27" s="55"/>
      <c r="NHQ27" s="53"/>
      <c r="NHU27" s="28"/>
      <c r="NHW27" s="55"/>
      <c r="NHX27" s="53"/>
      <c r="NIB27" s="28"/>
      <c r="NID27" s="55"/>
      <c r="NIE27" s="53"/>
      <c r="NII27" s="28"/>
      <c r="NIK27" s="55"/>
      <c r="NIL27" s="53"/>
      <c r="NIP27" s="28"/>
      <c r="NIR27" s="55"/>
      <c r="NIS27" s="53"/>
      <c r="NIW27" s="28"/>
      <c r="NIY27" s="55"/>
      <c r="NIZ27" s="53"/>
      <c r="NJD27" s="28"/>
      <c r="NJF27" s="55"/>
      <c r="NJG27" s="53"/>
      <c r="NJK27" s="28"/>
      <c r="NJM27" s="55"/>
      <c r="NJN27" s="53"/>
      <c r="NJR27" s="28"/>
      <c r="NJT27" s="55"/>
      <c r="NJU27" s="53"/>
      <c r="NJY27" s="28"/>
      <c r="NKA27" s="55"/>
      <c r="NKB27" s="53"/>
      <c r="NKF27" s="28"/>
      <c r="NKH27" s="55"/>
      <c r="NKI27" s="53"/>
      <c r="NKM27" s="28"/>
      <c r="NKO27" s="55"/>
      <c r="NKP27" s="53"/>
      <c r="NKT27" s="28"/>
      <c r="NKV27" s="55"/>
      <c r="NKW27" s="53"/>
      <c r="NLA27" s="28"/>
      <c r="NLC27" s="55"/>
      <c r="NLD27" s="53"/>
      <c r="NLH27" s="28"/>
      <c r="NLJ27" s="55"/>
      <c r="NLK27" s="53"/>
      <c r="NLO27" s="28"/>
      <c r="NLQ27" s="55"/>
      <c r="NLR27" s="53"/>
      <c r="NLV27" s="28"/>
      <c r="NLX27" s="55"/>
      <c r="NLY27" s="53"/>
      <c r="NMC27" s="28"/>
      <c r="NME27" s="55"/>
      <c r="NMF27" s="53"/>
      <c r="NMJ27" s="28"/>
      <c r="NML27" s="55"/>
      <c r="NMM27" s="53"/>
      <c r="NMQ27" s="28"/>
      <c r="NMS27" s="55"/>
      <c r="NMT27" s="53"/>
      <c r="NMX27" s="28"/>
      <c r="NMZ27" s="55"/>
      <c r="NNA27" s="53"/>
      <c r="NNE27" s="28"/>
      <c r="NNG27" s="55"/>
      <c r="NNH27" s="53"/>
      <c r="NNL27" s="28"/>
      <c r="NNN27" s="55"/>
      <c r="NNO27" s="53"/>
      <c r="NNS27" s="28"/>
      <c r="NNU27" s="55"/>
      <c r="NNV27" s="53"/>
      <c r="NNZ27" s="28"/>
      <c r="NOB27" s="55"/>
      <c r="NOC27" s="53"/>
      <c r="NOG27" s="28"/>
      <c r="NOI27" s="55"/>
      <c r="NOJ27" s="53"/>
      <c r="NON27" s="28"/>
      <c r="NOP27" s="55"/>
      <c r="NOQ27" s="53"/>
      <c r="NOU27" s="28"/>
      <c r="NOW27" s="55"/>
      <c r="NOX27" s="53"/>
      <c r="NPB27" s="28"/>
      <c r="NPD27" s="55"/>
      <c r="NPE27" s="53"/>
      <c r="NPI27" s="28"/>
      <c r="NPK27" s="55"/>
      <c r="NPL27" s="53"/>
      <c r="NPP27" s="28"/>
      <c r="NPR27" s="55"/>
      <c r="NPS27" s="53"/>
      <c r="NPW27" s="28"/>
      <c r="NPY27" s="55"/>
      <c r="NPZ27" s="53"/>
      <c r="NQD27" s="28"/>
      <c r="NQF27" s="55"/>
      <c r="NQG27" s="53"/>
      <c r="NQK27" s="28"/>
      <c r="NQM27" s="55"/>
      <c r="NQN27" s="53"/>
      <c r="NQR27" s="28"/>
      <c r="NQT27" s="55"/>
      <c r="NQU27" s="53"/>
      <c r="NQY27" s="28"/>
      <c r="NRA27" s="55"/>
      <c r="NRB27" s="53"/>
      <c r="NRF27" s="28"/>
      <c r="NRH27" s="55"/>
      <c r="NRI27" s="53"/>
      <c r="NRM27" s="28"/>
      <c r="NRO27" s="55"/>
      <c r="NRP27" s="53"/>
      <c r="NRT27" s="28"/>
      <c r="NRV27" s="55"/>
      <c r="NRW27" s="53"/>
      <c r="NSA27" s="28"/>
      <c r="NSC27" s="55"/>
      <c r="NSD27" s="53"/>
      <c r="NSH27" s="28"/>
      <c r="NSJ27" s="55"/>
      <c r="NSK27" s="53"/>
      <c r="NSO27" s="28"/>
      <c r="NSQ27" s="55"/>
      <c r="NSR27" s="53"/>
      <c r="NSV27" s="28"/>
      <c r="NSX27" s="55"/>
      <c r="NSY27" s="53"/>
      <c r="NTC27" s="28"/>
      <c r="NTE27" s="55"/>
      <c r="NTF27" s="53"/>
      <c r="NTJ27" s="28"/>
      <c r="NTL27" s="55"/>
      <c r="NTM27" s="53"/>
      <c r="NTQ27" s="28"/>
      <c r="NTS27" s="55"/>
      <c r="NTT27" s="53"/>
      <c r="NTX27" s="28"/>
      <c r="NTZ27" s="55"/>
      <c r="NUA27" s="53"/>
      <c r="NUE27" s="28"/>
      <c r="NUG27" s="55"/>
      <c r="NUH27" s="53"/>
      <c r="NUL27" s="28"/>
      <c r="NUN27" s="55"/>
      <c r="NUO27" s="53"/>
      <c r="NUS27" s="28"/>
      <c r="NUU27" s="55"/>
      <c r="NUV27" s="53"/>
      <c r="NUZ27" s="28"/>
      <c r="NVB27" s="55"/>
      <c r="NVC27" s="53"/>
      <c r="NVG27" s="28"/>
      <c r="NVI27" s="55"/>
      <c r="NVJ27" s="53"/>
      <c r="NVN27" s="28"/>
      <c r="NVP27" s="55"/>
      <c r="NVQ27" s="53"/>
      <c r="NVU27" s="28"/>
      <c r="NVW27" s="55"/>
      <c r="NVX27" s="53"/>
      <c r="NWB27" s="28"/>
      <c r="NWD27" s="55"/>
      <c r="NWE27" s="53"/>
      <c r="NWI27" s="28"/>
      <c r="NWK27" s="55"/>
      <c r="NWL27" s="53"/>
      <c r="NWP27" s="28"/>
      <c r="NWR27" s="55"/>
      <c r="NWS27" s="53"/>
      <c r="NWW27" s="28"/>
      <c r="NWY27" s="55"/>
      <c r="NWZ27" s="53"/>
      <c r="NXD27" s="28"/>
      <c r="NXF27" s="55"/>
      <c r="NXG27" s="53"/>
      <c r="NXK27" s="28"/>
      <c r="NXM27" s="55"/>
      <c r="NXN27" s="53"/>
      <c r="NXR27" s="28"/>
      <c r="NXT27" s="55"/>
      <c r="NXU27" s="53"/>
      <c r="NXY27" s="28"/>
      <c r="NYA27" s="55"/>
      <c r="NYB27" s="53"/>
      <c r="NYF27" s="28"/>
      <c r="NYH27" s="55"/>
      <c r="NYI27" s="53"/>
      <c r="NYM27" s="28"/>
      <c r="NYO27" s="55"/>
      <c r="NYP27" s="53"/>
      <c r="NYT27" s="28"/>
      <c r="NYV27" s="55"/>
      <c r="NYW27" s="53"/>
      <c r="NZA27" s="28"/>
      <c r="NZC27" s="55"/>
      <c r="NZD27" s="53"/>
      <c r="NZH27" s="28"/>
      <c r="NZJ27" s="55"/>
      <c r="NZK27" s="53"/>
      <c r="NZO27" s="28"/>
      <c r="NZQ27" s="55"/>
      <c r="NZR27" s="53"/>
      <c r="NZV27" s="28"/>
      <c r="NZX27" s="55"/>
      <c r="NZY27" s="53"/>
      <c r="OAC27" s="28"/>
      <c r="OAE27" s="55"/>
      <c r="OAF27" s="53"/>
      <c r="OAJ27" s="28"/>
      <c r="OAL27" s="55"/>
      <c r="OAM27" s="53"/>
      <c r="OAQ27" s="28"/>
      <c r="OAS27" s="55"/>
      <c r="OAT27" s="53"/>
      <c r="OAX27" s="28"/>
      <c r="OAZ27" s="55"/>
      <c r="OBA27" s="53"/>
      <c r="OBE27" s="28"/>
      <c r="OBG27" s="55"/>
      <c r="OBH27" s="53"/>
      <c r="OBL27" s="28"/>
      <c r="OBN27" s="55"/>
      <c r="OBO27" s="53"/>
      <c r="OBS27" s="28"/>
      <c r="OBU27" s="55"/>
      <c r="OBV27" s="53"/>
      <c r="OBZ27" s="28"/>
      <c r="OCB27" s="55"/>
      <c r="OCC27" s="53"/>
      <c r="OCG27" s="28"/>
      <c r="OCI27" s="55"/>
      <c r="OCJ27" s="53"/>
      <c r="OCN27" s="28"/>
      <c r="OCP27" s="55"/>
      <c r="OCQ27" s="53"/>
      <c r="OCU27" s="28"/>
      <c r="OCW27" s="55"/>
      <c r="OCX27" s="53"/>
      <c r="ODB27" s="28"/>
      <c r="ODD27" s="55"/>
      <c r="ODE27" s="53"/>
      <c r="ODI27" s="28"/>
      <c r="ODK27" s="55"/>
      <c r="ODL27" s="53"/>
      <c r="ODP27" s="28"/>
      <c r="ODR27" s="55"/>
      <c r="ODS27" s="53"/>
      <c r="ODW27" s="28"/>
      <c r="ODY27" s="55"/>
      <c r="ODZ27" s="53"/>
      <c r="OED27" s="28"/>
      <c r="OEF27" s="55"/>
      <c r="OEG27" s="53"/>
      <c r="OEK27" s="28"/>
      <c r="OEM27" s="55"/>
      <c r="OEN27" s="53"/>
      <c r="OER27" s="28"/>
      <c r="OET27" s="55"/>
      <c r="OEU27" s="53"/>
      <c r="OEY27" s="28"/>
      <c r="OFA27" s="55"/>
      <c r="OFB27" s="53"/>
      <c r="OFF27" s="28"/>
      <c r="OFH27" s="55"/>
      <c r="OFI27" s="53"/>
      <c r="OFM27" s="28"/>
      <c r="OFO27" s="55"/>
      <c r="OFP27" s="53"/>
      <c r="OFT27" s="28"/>
      <c r="OFV27" s="55"/>
      <c r="OFW27" s="53"/>
      <c r="OGA27" s="28"/>
      <c r="OGC27" s="55"/>
      <c r="OGD27" s="53"/>
      <c r="OGH27" s="28"/>
      <c r="OGJ27" s="55"/>
      <c r="OGK27" s="53"/>
      <c r="OGO27" s="28"/>
      <c r="OGQ27" s="55"/>
      <c r="OGR27" s="53"/>
      <c r="OGV27" s="28"/>
      <c r="OGX27" s="55"/>
      <c r="OGY27" s="53"/>
      <c r="OHC27" s="28"/>
      <c r="OHE27" s="55"/>
      <c r="OHF27" s="53"/>
      <c r="OHJ27" s="28"/>
      <c r="OHL27" s="55"/>
      <c r="OHM27" s="53"/>
      <c r="OHQ27" s="28"/>
      <c r="OHS27" s="55"/>
      <c r="OHT27" s="53"/>
      <c r="OHX27" s="28"/>
      <c r="OHZ27" s="55"/>
      <c r="OIA27" s="53"/>
      <c r="OIE27" s="28"/>
      <c r="OIG27" s="55"/>
      <c r="OIH27" s="53"/>
      <c r="OIL27" s="28"/>
      <c r="OIN27" s="55"/>
      <c r="OIO27" s="53"/>
      <c r="OIS27" s="28"/>
      <c r="OIU27" s="55"/>
      <c r="OIV27" s="53"/>
      <c r="OIZ27" s="28"/>
      <c r="OJB27" s="55"/>
      <c r="OJC27" s="53"/>
      <c r="OJG27" s="28"/>
      <c r="OJI27" s="55"/>
      <c r="OJJ27" s="53"/>
      <c r="OJN27" s="28"/>
      <c r="OJP27" s="55"/>
      <c r="OJQ27" s="53"/>
      <c r="OJU27" s="28"/>
      <c r="OJW27" s="55"/>
      <c r="OJX27" s="53"/>
      <c r="OKB27" s="28"/>
      <c r="OKD27" s="55"/>
      <c r="OKE27" s="53"/>
      <c r="OKI27" s="28"/>
      <c r="OKK27" s="55"/>
      <c r="OKL27" s="53"/>
      <c r="OKP27" s="28"/>
      <c r="OKR27" s="55"/>
      <c r="OKS27" s="53"/>
      <c r="OKW27" s="28"/>
      <c r="OKY27" s="55"/>
      <c r="OKZ27" s="53"/>
      <c r="OLD27" s="28"/>
      <c r="OLF27" s="55"/>
      <c r="OLG27" s="53"/>
      <c r="OLK27" s="28"/>
      <c r="OLM27" s="55"/>
      <c r="OLN27" s="53"/>
      <c r="OLR27" s="28"/>
      <c r="OLT27" s="55"/>
      <c r="OLU27" s="53"/>
      <c r="OLY27" s="28"/>
      <c r="OMA27" s="55"/>
      <c r="OMB27" s="53"/>
      <c r="OMF27" s="28"/>
      <c r="OMH27" s="55"/>
      <c r="OMI27" s="53"/>
      <c r="OMM27" s="28"/>
      <c r="OMO27" s="55"/>
      <c r="OMP27" s="53"/>
      <c r="OMT27" s="28"/>
      <c r="OMV27" s="55"/>
      <c r="OMW27" s="53"/>
      <c r="ONA27" s="28"/>
      <c r="ONC27" s="55"/>
      <c r="OND27" s="53"/>
      <c r="ONH27" s="28"/>
      <c r="ONJ27" s="55"/>
      <c r="ONK27" s="53"/>
      <c r="ONO27" s="28"/>
      <c r="ONQ27" s="55"/>
      <c r="ONR27" s="53"/>
      <c r="ONV27" s="28"/>
      <c r="ONX27" s="55"/>
      <c r="ONY27" s="53"/>
      <c r="OOC27" s="28"/>
      <c r="OOE27" s="55"/>
      <c r="OOF27" s="53"/>
      <c r="OOJ27" s="28"/>
      <c r="OOL27" s="55"/>
      <c r="OOM27" s="53"/>
      <c r="OOQ27" s="28"/>
      <c r="OOS27" s="55"/>
      <c r="OOT27" s="53"/>
      <c r="OOX27" s="28"/>
      <c r="OOZ27" s="55"/>
      <c r="OPA27" s="53"/>
      <c r="OPE27" s="28"/>
      <c r="OPG27" s="55"/>
      <c r="OPH27" s="53"/>
      <c r="OPL27" s="28"/>
      <c r="OPN27" s="55"/>
      <c r="OPO27" s="53"/>
      <c r="OPS27" s="28"/>
      <c r="OPU27" s="55"/>
      <c r="OPV27" s="53"/>
      <c r="OPZ27" s="28"/>
      <c r="OQB27" s="55"/>
      <c r="OQC27" s="53"/>
      <c r="OQG27" s="28"/>
      <c r="OQI27" s="55"/>
      <c r="OQJ27" s="53"/>
      <c r="OQN27" s="28"/>
      <c r="OQP27" s="55"/>
      <c r="OQQ27" s="53"/>
      <c r="OQU27" s="28"/>
      <c r="OQW27" s="55"/>
      <c r="OQX27" s="53"/>
      <c r="ORB27" s="28"/>
      <c r="ORD27" s="55"/>
      <c r="ORE27" s="53"/>
      <c r="ORI27" s="28"/>
      <c r="ORK27" s="55"/>
      <c r="ORL27" s="53"/>
      <c r="ORP27" s="28"/>
      <c r="ORR27" s="55"/>
      <c r="ORS27" s="53"/>
      <c r="ORW27" s="28"/>
      <c r="ORY27" s="55"/>
      <c r="ORZ27" s="53"/>
      <c r="OSD27" s="28"/>
      <c r="OSF27" s="55"/>
      <c r="OSG27" s="53"/>
      <c r="OSK27" s="28"/>
      <c r="OSM27" s="55"/>
      <c r="OSN27" s="53"/>
      <c r="OSR27" s="28"/>
      <c r="OST27" s="55"/>
      <c r="OSU27" s="53"/>
      <c r="OSY27" s="28"/>
      <c r="OTA27" s="55"/>
      <c r="OTB27" s="53"/>
      <c r="OTF27" s="28"/>
      <c r="OTH27" s="55"/>
      <c r="OTI27" s="53"/>
      <c r="OTM27" s="28"/>
      <c r="OTO27" s="55"/>
      <c r="OTP27" s="53"/>
      <c r="OTT27" s="28"/>
      <c r="OTV27" s="55"/>
      <c r="OTW27" s="53"/>
      <c r="OUA27" s="28"/>
      <c r="OUC27" s="55"/>
      <c r="OUD27" s="53"/>
      <c r="OUH27" s="28"/>
      <c r="OUJ27" s="55"/>
      <c r="OUK27" s="53"/>
      <c r="OUO27" s="28"/>
      <c r="OUQ27" s="55"/>
      <c r="OUR27" s="53"/>
      <c r="OUV27" s="28"/>
      <c r="OUX27" s="55"/>
      <c r="OUY27" s="53"/>
      <c r="OVC27" s="28"/>
      <c r="OVE27" s="55"/>
      <c r="OVF27" s="53"/>
      <c r="OVJ27" s="28"/>
      <c r="OVL27" s="55"/>
      <c r="OVM27" s="53"/>
      <c r="OVQ27" s="28"/>
      <c r="OVS27" s="55"/>
      <c r="OVT27" s="53"/>
      <c r="OVX27" s="28"/>
      <c r="OVZ27" s="55"/>
      <c r="OWA27" s="53"/>
      <c r="OWE27" s="28"/>
      <c r="OWG27" s="55"/>
      <c r="OWH27" s="53"/>
      <c r="OWL27" s="28"/>
      <c r="OWN27" s="55"/>
      <c r="OWO27" s="53"/>
      <c r="OWS27" s="28"/>
      <c r="OWU27" s="55"/>
      <c r="OWV27" s="53"/>
      <c r="OWZ27" s="28"/>
      <c r="OXB27" s="55"/>
      <c r="OXC27" s="53"/>
      <c r="OXG27" s="28"/>
      <c r="OXI27" s="55"/>
      <c r="OXJ27" s="53"/>
      <c r="OXN27" s="28"/>
      <c r="OXP27" s="55"/>
      <c r="OXQ27" s="53"/>
      <c r="OXU27" s="28"/>
      <c r="OXW27" s="55"/>
      <c r="OXX27" s="53"/>
      <c r="OYB27" s="28"/>
      <c r="OYD27" s="55"/>
      <c r="OYE27" s="53"/>
      <c r="OYI27" s="28"/>
      <c r="OYK27" s="55"/>
      <c r="OYL27" s="53"/>
      <c r="OYP27" s="28"/>
      <c r="OYR27" s="55"/>
      <c r="OYS27" s="53"/>
      <c r="OYW27" s="28"/>
      <c r="OYY27" s="55"/>
      <c r="OYZ27" s="53"/>
      <c r="OZD27" s="28"/>
      <c r="OZF27" s="55"/>
      <c r="OZG27" s="53"/>
      <c r="OZK27" s="28"/>
      <c r="OZM27" s="55"/>
      <c r="OZN27" s="53"/>
      <c r="OZR27" s="28"/>
      <c r="OZT27" s="55"/>
      <c r="OZU27" s="53"/>
      <c r="OZY27" s="28"/>
      <c r="PAA27" s="55"/>
      <c r="PAB27" s="53"/>
      <c r="PAF27" s="28"/>
      <c r="PAH27" s="55"/>
      <c r="PAI27" s="53"/>
      <c r="PAM27" s="28"/>
      <c r="PAO27" s="55"/>
      <c r="PAP27" s="53"/>
      <c r="PAT27" s="28"/>
      <c r="PAV27" s="55"/>
      <c r="PAW27" s="53"/>
      <c r="PBA27" s="28"/>
      <c r="PBC27" s="55"/>
      <c r="PBD27" s="53"/>
      <c r="PBH27" s="28"/>
      <c r="PBJ27" s="55"/>
      <c r="PBK27" s="53"/>
      <c r="PBO27" s="28"/>
      <c r="PBQ27" s="55"/>
      <c r="PBR27" s="53"/>
      <c r="PBV27" s="28"/>
      <c r="PBX27" s="55"/>
      <c r="PBY27" s="53"/>
      <c r="PCC27" s="28"/>
      <c r="PCE27" s="55"/>
      <c r="PCF27" s="53"/>
      <c r="PCJ27" s="28"/>
      <c r="PCL27" s="55"/>
      <c r="PCM27" s="53"/>
      <c r="PCQ27" s="28"/>
      <c r="PCS27" s="55"/>
      <c r="PCT27" s="53"/>
      <c r="PCX27" s="28"/>
      <c r="PCZ27" s="55"/>
      <c r="PDA27" s="53"/>
      <c r="PDE27" s="28"/>
      <c r="PDG27" s="55"/>
      <c r="PDH27" s="53"/>
      <c r="PDL27" s="28"/>
      <c r="PDN27" s="55"/>
      <c r="PDO27" s="53"/>
      <c r="PDS27" s="28"/>
      <c r="PDU27" s="55"/>
      <c r="PDV27" s="53"/>
      <c r="PDZ27" s="28"/>
      <c r="PEB27" s="55"/>
      <c r="PEC27" s="53"/>
      <c r="PEG27" s="28"/>
      <c r="PEI27" s="55"/>
      <c r="PEJ27" s="53"/>
      <c r="PEN27" s="28"/>
      <c r="PEP27" s="55"/>
      <c r="PEQ27" s="53"/>
      <c r="PEU27" s="28"/>
      <c r="PEW27" s="55"/>
      <c r="PEX27" s="53"/>
      <c r="PFB27" s="28"/>
      <c r="PFD27" s="55"/>
      <c r="PFE27" s="53"/>
      <c r="PFI27" s="28"/>
      <c r="PFK27" s="55"/>
      <c r="PFL27" s="53"/>
      <c r="PFP27" s="28"/>
      <c r="PFR27" s="55"/>
      <c r="PFS27" s="53"/>
      <c r="PFW27" s="28"/>
      <c r="PFY27" s="55"/>
      <c r="PFZ27" s="53"/>
      <c r="PGD27" s="28"/>
      <c r="PGF27" s="55"/>
      <c r="PGG27" s="53"/>
      <c r="PGK27" s="28"/>
      <c r="PGM27" s="55"/>
      <c r="PGN27" s="53"/>
      <c r="PGR27" s="28"/>
      <c r="PGT27" s="55"/>
      <c r="PGU27" s="53"/>
      <c r="PGY27" s="28"/>
      <c r="PHA27" s="55"/>
      <c r="PHB27" s="53"/>
      <c r="PHF27" s="28"/>
      <c r="PHH27" s="55"/>
      <c r="PHI27" s="53"/>
      <c r="PHM27" s="28"/>
      <c r="PHO27" s="55"/>
      <c r="PHP27" s="53"/>
      <c r="PHT27" s="28"/>
      <c r="PHV27" s="55"/>
      <c r="PHW27" s="53"/>
      <c r="PIA27" s="28"/>
      <c r="PIC27" s="55"/>
      <c r="PID27" s="53"/>
      <c r="PIH27" s="28"/>
      <c r="PIJ27" s="55"/>
      <c r="PIK27" s="53"/>
      <c r="PIO27" s="28"/>
      <c r="PIQ27" s="55"/>
      <c r="PIR27" s="53"/>
      <c r="PIV27" s="28"/>
      <c r="PIX27" s="55"/>
      <c r="PIY27" s="53"/>
      <c r="PJC27" s="28"/>
      <c r="PJE27" s="55"/>
      <c r="PJF27" s="53"/>
      <c r="PJJ27" s="28"/>
      <c r="PJL27" s="55"/>
      <c r="PJM27" s="53"/>
      <c r="PJQ27" s="28"/>
      <c r="PJS27" s="55"/>
      <c r="PJT27" s="53"/>
      <c r="PJX27" s="28"/>
      <c r="PJZ27" s="55"/>
      <c r="PKA27" s="53"/>
      <c r="PKE27" s="28"/>
      <c r="PKG27" s="55"/>
      <c r="PKH27" s="53"/>
      <c r="PKL27" s="28"/>
      <c r="PKN27" s="55"/>
      <c r="PKO27" s="53"/>
      <c r="PKS27" s="28"/>
      <c r="PKU27" s="55"/>
      <c r="PKV27" s="53"/>
      <c r="PKZ27" s="28"/>
      <c r="PLB27" s="55"/>
      <c r="PLC27" s="53"/>
      <c r="PLG27" s="28"/>
      <c r="PLI27" s="55"/>
      <c r="PLJ27" s="53"/>
      <c r="PLN27" s="28"/>
      <c r="PLP27" s="55"/>
      <c r="PLQ27" s="53"/>
      <c r="PLU27" s="28"/>
      <c r="PLW27" s="55"/>
      <c r="PLX27" s="53"/>
      <c r="PMB27" s="28"/>
      <c r="PMD27" s="55"/>
      <c r="PME27" s="53"/>
      <c r="PMI27" s="28"/>
      <c r="PMK27" s="55"/>
      <c r="PML27" s="53"/>
      <c r="PMP27" s="28"/>
      <c r="PMR27" s="55"/>
      <c r="PMS27" s="53"/>
      <c r="PMW27" s="28"/>
      <c r="PMY27" s="55"/>
      <c r="PMZ27" s="53"/>
      <c r="PND27" s="28"/>
      <c r="PNF27" s="55"/>
      <c r="PNG27" s="53"/>
      <c r="PNK27" s="28"/>
      <c r="PNM27" s="55"/>
      <c r="PNN27" s="53"/>
      <c r="PNR27" s="28"/>
      <c r="PNT27" s="55"/>
      <c r="PNU27" s="53"/>
      <c r="PNY27" s="28"/>
      <c r="POA27" s="55"/>
      <c r="POB27" s="53"/>
      <c r="POF27" s="28"/>
      <c r="POH27" s="55"/>
      <c r="POI27" s="53"/>
      <c r="POM27" s="28"/>
      <c r="POO27" s="55"/>
      <c r="POP27" s="53"/>
      <c r="POT27" s="28"/>
      <c r="POV27" s="55"/>
      <c r="POW27" s="53"/>
      <c r="PPA27" s="28"/>
      <c r="PPC27" s="55"/>
      <c r="PPD27" s="53"/>
      <c r="PPH27" s="28"/>
      <c r="PPJ27" s="55"/>
      <c r="PPK27" s="53"/>
      <c r="PPO27" s="28"/>
      <c r="PPQ27" s="55"/>
      <c r="PPR27" s="53"/>
      <c r="PPV27" s="28"/>
      <c r="PPX27" s="55"/>
      <c r="PPY27" s="53"/>
      <c r="PQC27" s="28"/>
      <c r="PQE27" s="55"/>
      <c r="PQF27" s="53"/>
      <c r="PQJ27" s="28"/>
      <c r="PQL27" s="55"/>
      <c r="PQM27" s="53"/>
      <c r="PQQ27" s="28"/>
      <c r="PQS27" s="55"/>
      <c r="PQT27" s="53"/>
      <c r="PQX27" s="28"/>
      <c r="PQZ27" s="55"/>
      <c r="PRA27" s="53"/>
      <c r="PRE27" s="28"/>
      <c r="PRG27" s="55"/>
      <c r="PRH27" s="53"/>
      <c r="PRL27" s="28"/>
      <c r="PRN27" s="55"/>
      <c r="PRO27" s="53"/>
      <c r="PRS27" s="28"/>
      <c r="PRU27" s="55"/>
      <c r="PRV27" s="53"/>
      <c r="PRZ27" s="28"/>
      <c r="PSB27" s="55"/>
      <c r="PSC27" s="53"/>
      <c r="PSG27" s="28"/>
      <c r="PSI27" s="55"/>
      <c r="PSJ27" s="53"/>
      <c r="PSN27" s="28"/>
      <c r="PSP27" s="55"/>
      <c r="PSQ27" s="53"/>
      <c r="PSU27" s="28"/>
      <c r="PSW27" s="55"/>
      <c r="PSX27" s="53"/>
      <c r="PTB27" s="28"/>
      <c r="PTD27" s="55"/>
      <c r="PTE27" s="53"/>
      <c r="PTI27" s="28"/>
      <c r="PTK27" s="55"/>
      <c r="PTL27" s="53"/>
      <c r="PTP27" s="28"/>
      <c r="PTR27" s="55"/>
      <c r="PTS27" s="53"/>
      <c r="PTW27" s="28"/>
      <c r="PTY27" s="55"/>
      <c r="PTZ27" s="53"/>
      <c r="PUD27" s="28"/>
      <c r="PUF27" s="55"/>
      <c r="PUG27" s="53"/>
      <c r="PUK27" s="28"/>
      <c r="PUM27" s="55"/>
      <c r="PUN27" s="53"/>
      <c r="PUR27" s="28"/>
      <c r="PUT27" s="55"/>
      <c r="PUU27" s="53"/>
      <c r="PUY27" s="28"/>
      <c r="PVA27" s="55"/>
      <c r="PVB27" s="53"/>
      <c r="PVF27" s="28"/>
      <c r="PVH27" s="55"/>
      <c r="PVI27" s="53"/>
      <c r="PVM27" s="28"/>
      <c r="PVO27" s="55"/>
      <c r="PVP27" s="53"/>
      <c r="PVT27" s="28"/>
      <c r="PVV27" s="55"/>
      <c r="PVW27" s="53"/>
      <c r="PWA27" s="28"/>
      <c r="PWC27" s="55"/>
      <c r="PWD27" s="53"/>
      <c r="PWH27" s="28"/>
      <c r="PWJ27" s="55"/>
      <c r="PWK27" s="53"/>
      <c r="PWO27" s="28"/>
      <c r="PWQ27" s="55"/>
      <c r="PWR27" s="53"/>
      <c r="PWV27" s="28"/>
      <c r="PWX27" s="55"/>
      <c r="PWY27" s="53"/>
      <c r="PXC27" s="28"/>
      <c r="PXE27" s="55"/>
      <c r="PXF27" s="53"/>
      <c r="PXJ27" s="28"/>
      <c r="PXL27" s="55"/>
      <c r="PXM27" s="53"/>
      <c r="PXQ27" s="28"/>
      <c r="PXS27" s="55"/>
      <c r="PXT27" s="53"/>
      <c r="PXX27" s="28"/>
      <c r="PXZ27" s="55"/>
      <c r="PYA27" s="53"/>
      <c r="PYE27" s="28"/>
      <c r="PYG27" s="55"/>
      <c r="PYH27" s="53"/>
      <c r="PYL27" s="28"/>
      <c r="PYN27" s="55"/>
      <c r="PYO27" s="53"/>
      <c r="PYS27" s="28"/>
      <c r="PYU27" s="55"/>
      <c r="PYV27" s="53"/>
      <c r="PYZ27" s="28"/>
      <c r="PZB27" s="55"/>
      <c r="PZC27" s="53"/>
      <c r="PZG27" s="28"/>
      <c r="PZI27" s="55"/>
      <c r="PZJ27" s="53"/>
      <c r="PZN27" s="28"/>
      <c r="PZP27" s="55"/>
      <c r="PZQ27" s="53"/>
      <c r="PZU27" s="28"/>
      <c r="PZW27" s="55"/>
      <c r="PZX27" s="53"/>
      <c r="QAB27" s="28"/>
      <c r="QAD27" s="55"/>
      <c r="QAE27" s="53"/>
      <c r="QAI27" s="28"/>
      <c r="QAK27" s="55"/>
      <c r="QAL27" s="53"/>
      <c r="QAP27" s="28"/>
      <c r="QAR27" s="55"/>
      <c r="QAS27" s="53"/>
      <c r="QAW27" s="28"/>
      <c r="QAY27" s="55"/>
      <c r="QAZ27" s="53"/>
      <c r="QBD27" s="28"/>
      <c r="QBF27" s="55"/>
      <c r="QBG27" s="53"/>
      <c r="QBK27" s="28"/>
      <c r="QBM27" s="55"/>
      <c r="QBN27" s="53"/>
      <c r="QBR27" s="28"/>
      <c r="QBT27" s="55"/>
      <c r="QBU27" s="53"/>
      <c r="QBY27" s="28"/>
      <c r="QCA27" s="55"/>
      <c r="QCB27" s="53"/>
      <c r="QCF27" s="28"/>
      <c r="QCH27" s="55"/>
      <c r="QCI27" s="53"/>
      <c r="QCM27" s="28"/>
      <c r="QCO27" s="55"/>
      <c r="QCP27" s="53"/>
      <c r="QCT27" s="28"/>
      <c r="QCV27" s="55"/>
      <c r="QCW27" s="53"/>
      <c r="QDA27" s="28"/>
      <c r="QDC27" s="55"/>
      <c r="QDD27" s="53"/>
      <c r="QDH27" s="28"/>
      <c r="QDJ27" s="55"/>
      <c r="QDK27" s="53"/>
      <c r="QDO27" s="28"/>
      <c r="QDQ27" s="55"/>
      <c r="QDR27" s="53"/>
      <c r="QDV27" s="28"/>
      <c r="QDX27" s="55"/>
      <c r="QDY27" s="53"/>
      <c r="QEC27" s="28"/>
      <c r="QEE27" s="55"/>
      <c r="QEF27" s="53"/>
      <c r="QEJ27" s="28"/>
      <c r="QEL27" s="55"/>
      <c r="QEM27" s="53"/>
      <c r="QEQ27" s="28"/>
      <c r="QES27" s="55"/>
      <c r="QET27" s="53"/>
      <c r="QEX27" s="28"/>
      <c r="QEZ27" s="55"/>
      <c r="QFA27" s="53"/>
      <c r="QFE27" s="28"/>
      <c r="QFG27" s="55"/>
      <c r="QFH27" s="53"/>
      <c r="QFL27" s="28"/>
      <c r="QFN27" s="55"/>
      <c r="QFO27" s="53"/>
      <c r="QFS27" s="28"/>
      <c r="QFU27" s="55"/>
      <c r="QFV27" s="53"/>
      <c r="QFZ27" s="28"/>
      <c r="QGB27" s="55"/>
      <c r="QGC27" s="53"/>
      <c r="QGG27" s="28"/>
      <c r="QGI27" s="55"/>
      <c r="QGJ27" s="53"/>
      <c r="QGN27" s="28"/>
      <c r="QGP27" s="55"/>
      <c r="QGQ27" s="53"/>
      <c r="QGU27" s="28"/>
      <c r="QGW27" s="55"/>
      <c r="QGX27" s="53"/>
      <c r="QHB27" s="28"/>
      <c r="QHD27" s="55"/>
      <c r="QHE27" s="53"/>
      <c r="QHI27" s="28"/>
      <c r="QHK27" s="55"/>
      <c r="QHL27" s="53"/>
      <c r="QHP27" s="28"/>
      <c r="QHR27" s="55"/>
      <c r="QHS27" s="53"/>
      <c r="QHW27" s="28"/>
      <c r="QHY27" s="55"/>
      <c r="QHZ27" s="53"/>
      <c r="QID27" s="28"/>
      <c r="QIF27" s="55"/>
      <c r="QIG27" s="53"/>
      <c r="QIK27" s="28"/>
      <c r="QIM27" s="55"/>
      <c r="QIN27" s="53"/>
      <c r="QIR27" s="28"/>
      <c r="QIT27" s="55"/>
      <c r="QIU27" s="53"/>
      <c r="QIY27" s="28"/>
      <c r="QJA27" s="55"/>
      <c r="QJB27" s="53"/>
      <c r="QJF27" s="28"/>
      <c r="QJH27" s="55"/>
      <c r="QJI27" s="53"/>
      <c r="QJM27" s="28"/>
      <c r="QJO27" s="55"/>
      <c r="QJP27" s="53"/>
      <c r="QJT27" s="28"/>
      <c r="QJV27" s="55"/>
      <c r="QJW27" s="53"/>
      <c r="QKA27" s="28"/>
      <c r="QKC27" s="55"/>
      <c r="QKD27" s="53"/>
      <c r="QKH27" s="28"/>
      <c r="QKJ27" s="55"/>
      <c r="QKK27" s="53"/>
      <c r="QKO27" s="28"/>
      <c r="QKQ27" s="55"/>
      <c r="QKR27" s="53"/>
      <c r="QKV27" s="28"/>
      <c r="QKX27" s="55"/>
      <c r="QKY27" s="53"/>
      <c r="QLC27" s="28"/>
      <c r="QLE27" s="55"/>
      <c r="QLF27" s="53"/>
      <c r="QLJ27" s="28"/>
      <c r="QLL27" s="55"/>
      <c r="QLM27" s="53"/>
      <c r="QLQ27" s="28"/>
      <c r="QLS27" s="55"/>
      <c r="QLT27" s="53"/>
      <c r="QLX27" s="28"/>
      <c r="QLZ27" s="55"/>
      <c r="QMA27" s="53"/>
      <c r="QME27" s="28"/>
      <c r="QMG27" s="55"/>
      <c r="QMH27" s="53"/>
      <c r="QML27" s="28"/>
      <c r="QMN27" s="55"/>
      <c r="QMO27" s="53"/>
      <c r="QMS27" s="28"/>
      <c r="QMU27" s="55"/>
      <c r="QMV27" s="53"/>
      <c r="QMZ27" s="28"/>
      <c r="QNB27" s="55"/>
      <c r="QNC27" s="53"/>
      <c r="QNG27" s="28"/>
      <c r="QNI27" s="55"/>
      <c r="QNJ27" s="53"/>
      <c r="QNN27" s="28"/>
      <c r="QNP27" s="55"/>
      <c r="QNQ27" s="53"/>
      <c r="QNU27" s="28"/>
      <c r="QNW27" s="55"/>
      <c r="QNX27" s="53"/>
      <c r="QOB27" s="28"/>
      <c r="QOD27" s="55"/>
      <c r="QOE27" s="53"/>
      <c r="QOI27" s="28"/>
      <c r="QOK27" s="55"/>
      <c r="QOL27" s="53"/>
      <c r="QOP27" s="28"/>
      <c r="QOR27" s="55"/>
      <c r="QOS27" s="53"/>
      <c r="QOW27" s="28"/>
      <c r="QOY27" s="55"/>
      <c r="QOZ27" s="53"/>
      <c r="QPD27" s="28"/>
      <c r="QPF27" s="55"/>
      <c r="QPG27" s="53"/>
      <c r="QPK27" s="28"/>
      <c r="QPM27" s="55"/>
      <c r="QPN27" s="53"/>
      <c r="QPR27" s="28"/>
      <c r="QPT27" s="55"/>
      <c r="QPU27" s="53"/>
      <c r="QPY27" s="28"/>
      <c r="QQA27" s="55"/>
      <c r="QQB27" s="53"/>
      <c r="QQF27" s="28"/>
      <c r="QQH27" s="55"/>
      <c r="QQI27" s="53"/>
      <c r="QQM27" s="28"/>
      <c r="QQO27" s="55"/>
      <c r="QQP27" s="53"/>
      <c r="QQT27" s="28"/>
      <c r="QQV27" s="55"/>
      <c r="QQW27" s="53"/>
      <c r="QRA27" s="28"/>
      <c r="QRC27" s="55"/>
      <c r="QRD27" s="53"/>
      <c r="QRH27" s="28"/>
      <c r="QRJ27" s="55"/>
      <c r="QRK27" s="53"/>
      <c r="QRO27" s="28"/>
      <c r="QRQ27" s="55"/>
      <c r="QRR27" s="53"/>
      <c r="QRV27" s="28"/>
      <c r="QRX27" s="55"/>
      <c r="QRY27" s="53"/>
      <c r="QSC27" s="28"/>
      <c r="QSE27" s="55"/>
      <c r="QSF27" s="53"/>
      <c r="QSJ27" s="28"/>
      <c r="QSL27" s="55"/>
      <c r="QSM27" s="53"/>
      <c r="QSQ27" s="28"/>
      <c r="QSS27" s="55"/>
      <c r="QST27" s="53"/>
      <c r="QSX27" s="28"/>
      <c r="QSZ27" s="55"/>
      <c r="QTA27" s="53"/>
      <c r="QTE27" s="28"/>
      <c r="QTG27" s="55"/>
      <c r="QTH27" s="53"/>
      <c r="QTL27" s="28"/>
      <c r="QTN27" s="55"/>
      <c r="QTO27" s="53"/>
      <c r="QTS27" s="28"/>
      <c r="QTU27" s="55"/>
      <c r="QTV27" s="53"/>
      <c r="QTZ27" s="28"/>
      <c r="QUB27" s="55"/>
      <c r="QUC27" s="53"/>
      <c r="QUG27" s="28"/>
      <c r="QUI27" s="55"/>
      <c r="QUJ27" s="53"/>
      <c r="QUN27" s="28"/>
      <c r="QUP27" s="55"/>
      <c r="QUQ27" s="53"/>
      <c r="QUU27" s="28"/>
      <c r="QUW27" s="55"/>
      <c r="QUX27" s="53"/>
      <c r="QVB27" s="28"/>
      <c r="QVD27" s="55"/>
      <c r="QVE27" s="53"/>
      <c r="QVI27" s="28"/>
      <c r="QVK27" s="55"/>
      <c r="QVL27" s="53"/>
      <c r="QVP27" s="28"/>
      <c r="QVR27" s="55"/>
      <c r="QVS27" s="53"/>
      <c r="QVW27" s="28"/>
      <c r="QVY27" s="55"/>
      <c r="QVZ27" s="53"/>
      <c r="QWD27" s="28"/>
      <c r="QWF27" s="55"/>
      <c r="QWG27" s="53"/>
      <c r="QWK27" s="28"/>
      <c r="QWM27" s="55"/>
      <c r="QWN27" s="53"/>
      <c r="QWR27" s="28"/>
      <c r="QWT27" s="55"/>
      <c r="QWU27" s="53"/>
      <c r="QWY27" s="28"/>
      <c r="QXA27" s="55"/>
      <c r="QXB27" s="53"/>
      <c r="QXF27" s="28"/>
      <c r="QXH27" s="55"/>
      <c r="QXI27" s="53"/>
      <c r="QXM27" s="28"/>
      <c r="QXO27" s="55"/>
      <c r="QXP27" s="53"/>
      <c r="QXT27" s="28"/>
      <c r="QXV27" s="55"/>
      <c r="QXW27" s="53"/>
      <c r="QYA27" s="28"/>
      <c r="QYC27" s="55"/>
      <c r="QYD27" s="53"/>
      <c r="QYH27" s="28"/>
      <c r="QYJ27" s="55"/>
      <c r="QYK27" s="53"/>
      <c r="QYO27" s="28"/>
      <c r="QYQ27" s="55"/>
      <c r="QYR27" s="53"/>
      <c r="QYV27" s="28"/>
      <c r="QYX27" s="55"/>
      <c r="QYY27" s="53"/>
      <c r="QZC27" s="28"/>
      <c r="QZE27" s="55"/>
      <c r="QZF27" s="53"/>
      <c r="QZJ27" s="28"/>
      <c r="QZL27" s="55"/>
      <c r="QZM27" s="53"/>
      <c r="QZQ27" s="28"/>
      <c r="QZS27" s="55"/>
      <c r="QZT27" s="53"/>
      <c r="QZX27" s="28"/>
      <c r="QZZ27" s="55"/>
      <c r="RAA27" s="53"/>
      <c r="RAE27" s="28"/>
      <c r="RAG27" s="55"/>
      <c r="RAH27" s="53"/>
      <c r="RAL27" s="28"/>
      <c r="RAN27" s="55"/>
      <c r="RAO27" s="53"/>
      <c r="RAS27" s="28"/>
      <c r="RAU27" s="55"/>
      <c r="RAV27" s="53"/>
      <c r="RAZ27" s="28"/>
      <c r="RBB27" s="55"/>
      <c r="RBC27" s="53"/>
      <c r="RBG27" s="28"/>
      <c r="RBI27" s="55"/>
      <c r="RBJ27" s="53"/>
      <c r="RBN27" s="28"/>
      <c r="RBP27" s="55"/>
      <c r="RBQ27" s="53"/>
      <c r="RBU27" s="28"/>
      <c r="RBW27" s="55"/>
      <c r="RBX27" s="53"/>
      <c r="RCB27" s="28"/>
      <c r="RCD27" s="55"/>
      <c r="RCE27" s="53"/>
      <c r="RCI27" s="28"/>
      <c r="RCK27" s="55"/>
      <c r="RCL27" s="53"/>
      <c r="RCP27" s="28"/>
      <c r="RCR27" s="55"/>
      <c r="RCS27" s="53"/>
      <c r="RCW27" s="28"/>
      <c r="RCY27" s="55"/>
      <c r="RCZ27" s="53"/>
      <c r="RDD27" s="28"/>
      <c r="RDF27" s="55"/>
      <c r="RDG27" s="53"/>
      <c r="RDK27" s="28"/>
      <c r="RDM27" s="55"/>
      <c r="RDN27" s="53"/>
      <c r="RDR27" s="28"/>
      <c r="RDT27" s="55"/>
      <c r="RDU27" s="53"/>
      <c r="RDY27" s="28"/>
      <c r="REA27" s="55"/>
      <c r="REB27" s="53"/>
      <c r="REF27" s="28"/>
      <c r="REH27" s="55"/>
      <c r="REI27" s="53"/>
      <c r="REM27" s="28"/>
      <c r="REO27" s="55"/>
      <c r="REP27" s="53"/>
      <c r="RET27" s="28"/>
      <c r="REV27" s="55"/>
      <c r="REW27" s="53"/>
      <c r="RFA27" s="28"/>
      <c r="RFC27" s="55"/>
      <c r="RFD27" s="53"/>
      <c r="RFH27" s="28"/>
      <c r="RFJ27" s="55"/>
      <c r="RFK27" s="53"/>
      <c r="RFO27" s="28"/>
      <c r="RFQ27" s="55"/>
      <c r="RFR27" s="53"/>
      <c r="RFV27" s="28"/>
      <c r="RFX27" s="55"/>
      <c r="RFY27" s="53"/>
      <c r="RGC27" s="28"/>
      <c r="RGE27" s="55"/>
      <c r="RGF27" s="53"/>
      <c r="RGJ27" s="28"/>
      <c r="RGL27" s="55"/>
      <c r="RGM27" s="53"/>
      <c r="RGQ27" s="28"/>
      <c r="RGS27" s="55"/>
      <c r="RGT27" s="53"/>
      <c r="RGX27" s="28"/>
      <c r="RGZ27" s="55"/>
      <c r="RHA27" s="53"/>
      <c r="RHE27" s="28"/>
      <c r="RHG27" s="55"/>
      <c r="RHH27" s="53"/>
      <c r="RHL27" s="28"/>
      <c r="RHN27" s="55"/>
      <c r="RHO27" s="53"/>
      <c r="RHS27" s="28"/>
      <c r="RHU27" s="55"/>
      <c r="RHV27" s="53"/>
      <c r="RHZ27" s="28"/>
      <c r="RIB27" s="55"/>
      <c r="RIC27" s="53"/>
      <c r="RIG27" s="28"/>
      <c r="RII27" s="55"/>
      <c r="RIJ27" s="53"/>
      <c r="RIN27" s="28"/>
      <c r="RIP27" s="55"/>
      <c r="RIQ27" s="53"/>
      <c r="RIU27" s="28"/>
      <c r="RIW27" s="55"/>
      <c r="RIX27" s="53"/>
      <c r="RJB27" s="28"/>
      <c r="RJD27" s="55"/>
      <c r="RJE27" s="53"/>
      <c r="RJI27" s="28"/>
      <c r="RJK27" s="55"/>
      <c r="RJL27" s="53"/>
      <c r="RJP27" s="28"/>
      <c r="RJR27" s="55"/>
      <c r="RJS27" s="53"/>
      <c r="RJW27" s="28"/>
      <c r="RJY27" s="55"/>
      <c r="RJZ27" s="53"/>
      <c r="RKD27" s="28"/>
      <c r="RKF27" s="55"/>
      <c r="RKG27" s="53"/>
      <c r="RKK27" s="28"/>
      <c r="RKM27" s="55"/>
      <c r="RKN27" s="53"/>
      <c r="RKR27" s="28"/>
      <c r="RKT27" s="55"/>
      <c r="RKU27" s="53"/>
      <c r="RKY27" s="28"/>
      <c r="RLA27" s="55"/>
      <c r="RLB27" s="53"/>
      <c r="RLF27" s="28"/>
      <c r="RLH27" s="55"/>
      <c r="RLI27" s="53"/>
      <c r="RLM27" s="28"/>
      <c r="RLO27" s="55"/>
      <c r="RLP27" s="53"/>
      <c r="RLT27" s="28"/>
      <c r="RLV27" s="55"/>
      <c r="RLW27" s="53"/>
      <c r="RMA27" s="28"/>
      <c r="RMC27" s="55"/>
      <c r="RMD27" s="53"/>
      <c r="RMH27" s="28"/>
      <c r="RMJ27" s="55"/>
      <c r="RMK27" s="53"/>
      <c r="RMO27" s="28"/>
      <c r="RMQ27" s="55"/>
      <c r="RMR27" s="53"/>
      <c r="RMV27" s="28"/>
      <c r="RMX27" s="55"/>
      <c r="RMY27" s="53"/>
      <c r="RNC27" s="28"/>
      <c r="RNE27" s="55"/>
      <c r="RNF27" s="53"/>
      <c r="RNJ27" s="28"/>
      <c r="RNL27" s="55"/>
      <c r="RNM27" s="53"/>
      <c r="RNQ27" s="28"/>
      <c r="RNS27" s="55"/>
      <c r="RNT27" s="53"/>
      <c r="RNX27" s="28"/>
      <c r="RNZ27" s="55"/>
      <c r="ROA27" s="53"/>
      <c r="ROE27" s="28"/>
      <c r="ROG27" s="55"/>
      <c r="ROH27" s="53"/>
      <c r="ROL27" s="28"/>
      <c r="RON27" s="55"/>
      <c r="ROO27" s="53"/>
      <c r="ROS27" s="28"/>
      <c r="ROU27" s="55"/>
      <c r="ROV27" s="53"/>
      <c r="ROZ27" s="28"/>
      <c r="RPB27" s="55"/>
      <c r="RPC27" s="53"/>
      <c r="RPG27" s="28"/>
      <c r="RPI27" s="55"/>
      <c r="RPJ27" s="53"/>
      <c r="RPN27" s="28"/>
      <c r="RPP27" s="55"/>
      <c r="RPQ27" s="53"/>
      <c r="RPU27" s="28"/>
      <c r="RPW27" s="55"/>
      <c r="RPX27" s="53"/>
      <c r="RQB27" s="28"/>
      <c r="RQD27" s="55"/>
      <c r="RQE27" s="53"/>
      <c r="RQI27" s="28"/>
      <c r="RQK27" s="55"/>
      <c r="RQL27" s="53"/>
      <c r="RQP27" s="28"/>
      <c r="RQR27" s="55"/>
      <c r="RQS27" s="53"/>
      <c r="RQW27" s="28"/>
      <c r="RQY27" s="55"/>
      <c r="RQZ27" s="53"/>
      <c r="RRD27" s="28"/>
      <c r="RRF27" s="55"/>
      <c r="RRG27" s="53"/>
      <c r="RRK27" s="28"/>
      <c r="RRM27" s="55"/>
      <c r="RRN27" s="53"/>
      <c r="RRR27" s="28"/>
      <c r="RRT27" s="55"/>
      <c r="RRU27" s="53"/>
      <c r="RRY27" s="28"/>
      <c r="RSA27" s="55"/>
      <c r="RSB27" s="53"/>
      <c r="RSF27" s="28"/>
      <c r="RSH27" s="55"/>
      <c r="RSI27" s="53"/>
      <c r="RSM27" s="28"/>
      <c r="RSO27" s="55"/>
      <c r="RSP27" s="53"/>
      <c r="RST27" s="28"/>
      <c r="RSV27" s="55"/>
      <c r="RSW27" s="53"/>
      <c r="RTA27" s="28"/>
      <c r="RTC27" s="55"/>
      <c r="RTD27" s="53"/>
      <c r="RTH27" s="28"/>
      <c r="RTJ27" s="55"/>
      <c r="RTK27" s="53"/>
      <c r="RTO27" s="28"/>
      <c r="RTQ27" s="55"/>
      <c r="RTR27" s="53"/>
      <c r="RTV27" s="28"/>
      <c r="RTX27" s="55"/>
      <c r="RTY27" s="53"/>
      <c r="RUC27" s="28"/>
      <c r="RUE27" s="55"/>
      <c r="RUF27" s="53"/>
      <c r="RUJ27" s="28"/>
      <c r="RUL27" s="55"/>
      <c r="RUM27" s="53"/>
      <c r="RUQ27" s="28"/>
      <c r="RUS27" s="55"/>
      <c r="RUT27" s="53"/>
      <c r="RUX27" s="28"/>
      <c r="RUZ27" s="55"/>
      <c r="RVA27" s="53"/>
      <c r="RVE27" s="28"/>
      <c r="RVG27" s="55"/>
      <c r="RVH27" s="53"/>
      <c r="RVL27" s="28"/>
      <c r="RVN27" s="55"/>
      <c r="RVO27" s="53"/>
      <c r="RVS27" s="28"/>
      <c r="RVU27" s="55"/>
      <c r="RVV27" s="53"/>
      <c r="RVZ27" s="28"/>
      <c r="RWB27" s="55"/>
      <c r="RWC27" s="53"/>
      <c r="RWG27" s="28"/>
      <c r="RWI27" s="55"/>
      <c r="RWJ27" s="53"/>
      <c r="RWN27" s="28"/>
      <c r="RWP27" s="55"/>
      <c r="RWQ27" s="53"/>
      <c r="RWU27" s="28"/>
      <c r="RWW27" s="55"/>
      <c r="RWX27" s="53"/>
      <c r="RXB27" s="28"/>
      <c r="RXD27" s="55"/>
      <c r="RXE27" s="53"/>
      <c r="RXI27" s="28"/>
      <c r="RXK27" s="55"/>
      <c r="RXL27" s="53"/>
      <c r="RXP27" s="28"/>
      <c r="RXR27" s="55"/>
      <c r="RXS27" s="53"/>
      <c r="RXW27" s="28"/>
      <c r="RXY27" s="55"/>
      <c r="RXZ27" s="53"/>
      <c r="RYD27" s="28"/>
      <c r="RYF27" s="55"/>
      <c r="RYG27" s="53"/>
      <c r="RYK27" s="28"/>
      <c r="RYM27" s="55"/>
      <c r="RYN27" s="53"/>
      <c r="RYR27" s="28"/>
      <c r="RYT27" s="55"/>
      <c r="RYU27" s="53"/>
      <c r="RYY27" s="28"/>
      <c r="RZA27" s="55"/>
      <c r="RZB27" s="53"/>
      <c r="RZF27" s="28"/>
      <c r="RZH27" s="55"/>
      <c r="RZI27" s="53"/>
      <c r="RZM27" s="28"/>
      <c r="RZO27" s="55"/>
      <c r="RZP27" s="53"/>
      <c r="RZT27" s="28"/>
      <c r="RZV27" s="55"/>
      <c r="RZW27" s="53"/>
      <c r="SAA27" s="28"/>
      <c r="SAC27" s="55"/>
      <c r="SAD27" s="53"/>
      <c r="SAH27" s="28"/>
      <c r="SAJ27" s="55"/>
      <c r="SAK27" s="53"/>
      <c r="SAO27" s="28"/>
      <c r="SAQ27" s="55"/>
      <c r="SAR27" s="53"/>
      <c r="SAV27" s="28"/>
      <c r="SAX27" s="55"/>
      <c r="SAY27" s="53"/>
      <c r="SBC27" s="28"/>
      <c r="SBE27" s="55"/>
      <c r="SBF27" s="53"/>
      <c r="SBJ27" s="28"/>
      <c r="SBL27" s="55"/>
      <c r="SBM27" s="53"/>
      <c r="SBQ27" s="28"/>
      <c r="SBS27" s="55"/>
      <c r="SBT27" s="53"/>
      <c r="SBX27" s="28"/>
      <c r="SBZ27" s="55"/>
      <c r="SCA27" s="53"/>
      <c r="SCE27" s="28"/>
      <c r="SCG27" s="55"/>
      <c r="SCH27" s="53"/>
      <c r="SCL27" s="28"/>
      <c r="SCN27" s="55"/>
      <c r="SCO27" s="53"/>
      <c r="SCS27" s="28"/>
      <c r="SCU27" s="55"/>
      <c r="SCV27" s="53"/>
      <c r="SCZ27" s="28"/>
      <c r="SDB27" s="55"/>
      <c r="SDC27" s="53"/>
      <c r="SDG27" s="28"/>
      <c r="SDI27" s="55"/>
      <c r="SDJ27" s="53"/>
      <c r="SDN27" s="28"/>
      <c r="SDP27" s="55"/>
      <c r="SDQ27" s="53"/>
      <c r="SDU27" s="28"/>
      <c r="SDW27" s="55"/>
      <c r="SDX27" s="53"/>
      <c r="SEB27" s="28"/>
      <c r="SED27" s="55"/>
      <c r="SEE27" s="53"/>
      <c r="SEI27" s="28"/>
      <c r="SEK27" s="55"/>
      <c r="SEL27" s="53"/>
      <c r="SEP27" s="28"/>
      <c r="SER27" s="55"/>
      <c r="SES27" s="53"/>
      <c r="SEW27" s="28"/>
      <c r="SEY27" s="55"/>
      <c r="SEZ27" s="53"/>
      <c r="SFD27" s="28"/>
      <c r="SFF27" s="55"/>
      <c r="SFG27" s="53"/>
      <c r="SFK27" s="28"/>
      <c r="SFM27" s="55"/>
      <c r="SFN27" s="53"/>
      <c r="SFR27" s="28"/>
      <c r="SFT27" s="55"/>
      <c r="SFU27" s="53"/>
      <c r="SFY27" s="28"/>
      <c r="SGA27" s="55"/>
      <c r="SGB27" s="53"/>
      <c r="SGF27" s="28"/>
      <c r="SGH27" s="55"/>
      <c r="SGI27" s="53"/>
      <c r="SGM27" s="28"/>
      <c r="SGO27" s="55"/>
      <c r="SGP27" s="53"/>
      <c r="SGT27" s="28"/>
      <c r="SGV27" s="55"/>
      <c r="SGW27" s="53"/>
      <c r="SHA27" s="28"/>
      <c r="SHC27" s="55"/>
      <c r="SHD27" s="53"/>
      <c r="SHH27" s="28"/>
      <c r="SHJ27" s="55"/>
      <c r="SHK27" s="53"/>
      <c r="SHO27" s="28"/>
      <c r="SHQ27" s="55"/>
      <c r="SHR27" s="53"/>
      <c r="SHV27" s="28"/>
      <c r="SHX27" s="55"/>
      <c r="SHY27" s="53"/>
      <c r="SIC27" s="28"/>
      <c r="SIE27" s="55"/>
      <c r="SIF27" s="53"/>
      <c r="SIJ27" s="28"/>
      <c r="SIL27" s="55"/>
      <c r="SIM27" s="53"/>
      <c r="SIQ27" s="28"/>
      <c r="SIS27" s="55"/>
      <c r="SIT27" s="53"/>
      <c r="SIX27" s="28"/>
      <c r="SIZ27" s="55"/>
      <c r="SJA27" s="53"/>
      <c r="SJE27" s="28"/>
      <c r="SJG27" s="55"/>
      <c r="SJH27" s="53"/>
      <c r="SJL27" s="28"/>
      <c r="SJN27" s="55"/>
      <c r="SJO27" s="53"/>
      <c r="SJS27" s="28"/>
      <c r="SJU27" s="55"/>
      <c r="SJV27" s="53"/>
      <c r="SJZ27" s="28"/>
      <c r="SKB27" s="55"/>
      <c r="SKC27" s="53"/>
      <c r="SKG27" s="28"/>
      <c r="SKI27" s="55"/>
      <c r="SKJ27" s="53"/>
      <c r="SKN27" s="28"/>
      <c r="SKP27" s="55"/>
      <c r="SKQ27" s="53"/>
      <c r="SKU27" s="28"/>
      <c r="SKW27" s="55"/>
      <c r="SKX27" s="53"/>
      <c r="SLB27" s="28"/>
      <c r="SLD27" s="55"/>
      <c r="SLE27" s="53"/>
      <c r="SLI27" s="28"/>
      <c r="SLK27" s="55"/>
      <c r="SLL27" s="53"/>
      <c r="SLP27" s="28"/>
      <c r="SLR27" s="55"/>
      <c r="SLS27" s="53"/>
      <c r="SLW27" s="28"/>
      <c r="SLY27" s="55"/>
      <c r="SLZ27" s="53"/>
      <c r="SMD27" s="28"/>
      <c r="SMF27" s="55"/>
      <c r="SMG27" s="53"/>
      <c r="SMK27" s="28"/>
      <c r="SMM27" s="55"/>
      <c r="SMN27" s="53"/>
      <c r="SMR27" s="28"/>
      <c r="SMT27" s="55"/>
      <c r="SMU27" s="53"/>
      <c r="SMY27" s="28"/>
      <c r="SNA27" s="55"/>
      <c r="SNB27" s="53"/>
      <c r="SNF27" s="28"/>
      <c r="SNH27" s="55"/>
      <c r="SNI27" s="53"/>
      <c r="SNM27" s="28"/>
      <c r="SNO27" s="55"/>
      <c r="SNP27" s="53"/>
      <c r="SNT27" s="28"/>
      <c r="SNV27" s="55"/>
      <c r="SNW27" s="53"/>
      <c r="SOA27" s="28"/>
      <c r="SOC27" s="55"/>
      <c r="SOD27" s="53"/>
      <c r="SOH27" s="28"/>
      <c r="SOJ27" s="55"/>
      <c r="SOK27" s="53"/>
      <c r="SOO27" s="28"/>
      <c r="SOQ27" s="55"/>
      <c r="SOR27" s="53"/>
      <c r="SOV27" s="28"/>
      <c r="SOX27" s="55"/>
      <c r="SOY27" s="53"/>
      <c r="SPC27" s="28"/>
      <c r="SPE27" s="55"/>
      <c r="SPF27" s="53"/>
      <c r="SPJ27" s="28"/>
      <c r="SPL27" s="55"/>
      <c r="SPM27" s="53"/>
      <c r="SPQ27" s="28"/>
      <c r="SPS27" s="55"/>
      <c r="SPT27" s="53"/>
      <c r="SPX27" s="28"/>
      <c r="SPZ27" s="55"/>
      <c r="SQA27" s="53"/>
      <c r="SQE27" s="28"/>
      <c r="SQG27" s="55"/>
      <c r="SQH27" s="53"/>
      <c r="SQL27" s="28"/>
      <c r="SQN27" s="55"/>
      <c r="SQO27" s="53"/>
      <c r="SQS27" s="28"/>
      <c r="SQU27" s="55"/>
      <c r="SQV27" s="53"/>
      <c r="SQZ27" s="28"/>
      <c r="SRB27" s="55"/>
      <c r="SRC27" s="53"/>
      <c r="SRG27" s="28"/>
      <c r="SRI27" s="55"/>
      <c r="SRJ27" s="53"/>
      <c r="SRN27" s="28"/>
      <c r="SRP27" s="55"/>
      <c r="SRQ27" s="53"/>
      <c r="SRU27" s="28"/>
      <c r="SRW27" s="55"/>
      <c r="SRX27" s="53"/>
      <c r="SSB27" s="28"/>
      <c r="SSD27" s="55"/>
      <c r="SSE27" s="53"/>
      <c r="SSI27" s="28"/>
      <c r="SSK27" s="55"/>
      <c r="SSL27" s="53"/>
      <c r="SSP27" s="28"/>
      <c r="SSR27" s="55"/>
      <c r="SSS27" s="53"/>
      <c r="SSW27" s="28"/>
      <c r="SSY27" s="55"/>
      <c r="SSZ27" s="53"/>
      <c r="STD27" s="28"/>
      <c r="STF27" s="55"/>
      <c r="STG27" s="53"/>
      <c r="STK27" s="28"/>
      <c r="STM27" s="55"/>
      <c r="STN27" s="53"/>
      <c r="STR27" s="28"/>
      <c r="STT27" s="55"/>
      <c r="STU27" s="53"/>
      <c r="STY27" s="28"/>
      <c r="SUA27" s="55"/>
      <c r="SUB27" s="53"/>
      <c r="SUF27" s="28"/>
      <c r="SUH27" s="55"/>
      <c r="SUI27" s="53"/>
      <c r="SUM27" s="28"/>
      <c r="SUO27" s="55"/>
      <c r="SUP27" s="53"/>
      <c r="SUT27" s="28"/>
      <c r="SUV27" s="55"/>
      <c r="SUW27" s="53"/>
      <c r="SVA27" s="28"/>
      <c r="SVC27" s="55"/>
      <c r="SVD27" s="53"/>
      <c r="SVH27" s="28"/>
      <c r="SVJ27" s="55"/>
      <c r="SVK27" s="53"/>
      <c r="SVO27" s="28"/>
      <c r="SVQ27" s="55"/>
      <c r="SVR27" s="53"/>
      <c r="SVV27" s="28"/>
      <c r="SVX27" s="55"/>
      <c r="SVY27" s="53"/>
      <c r="SWC27" s="28"/>
      <c r="SWE27" s="55"/>
      <c r="SWF27" s="53"/>
      <c r="SWJ27" s="28"/>
      <c r="SWL27" s="55"/>
      <c r="SWM27" s="53"/>
      <c r="SWQ27" s="28"/>
      <c r="SWS27" s="55"/>
      <c r="SWT27" s="53"/>
      <c r="SWX27" s="28"/>
      <c r="SWZ27" s="55"/>
      <c r="SXA27" s="53"/>
      <c r="SXE27" s="28"/>
      <c r="SXG27" s="55"/>
      <c r="SXH27" s="53"/>
      <c r="SXL27" s="28"/>
      <c r="SXN27" s="55"/>
      <c r="SXO27" s="53"/>
      <c r="SXS27" s="28"/>
      <c r="SXU27" s="55"/>
      <c r="SXV27" s="53"/>
      <c r="SXZ27" s="28"/>
      <c r="SYB27" s="55"/>
      <c r="SYC27" s="53"/>
      <c r="SYG27" s="28"/>
      <c r="SYI27" s="55"/>
      <c r="SYJ27" s="53"/>
      <c r="SYN27" s="28"/>
      <c r="SYP27" s="55"/>
      <c r="SYQ27" s="53"/>
      <c r="SYU27" s="28"/>
      <c r="SYW27" s="55"/>
      <c r="SYX27" s="53"/>
      <c r="SZB27" s="28"/>
      <c r="SZD27" s="55"/>
      <c r="SZE27" s="53"/>
      <c r="SZI27" s="28"/>
      <c r="SZK27" s="55"/>
      <c r="SZL27" s="53"/>
      <c r="SZP27" s="28"/>
      <c r="SZR27" s="55"/>
      <c r="SZS27" s="53"/>
      <c r="SZW27" s="28"/>
      <c r="SZY27" s="55"/>
      <c r="SZZ27" s="53"/>
      <c r="TAD27" s="28"/>
      <c r="TAF27" s="55"/>
      <c r="TAG27" s="53"/>
      <c r="TAK27" s="28"/>
      <c r="TAM27" s="55"/>
      <c r="TAN27" s="53"/>
      <c r="TAR27" s="28"/>
      <c r="TAT27" s="55"/>
      <c r="TAU27" s="53"/>
      <c r="TAY27" s="28"/>
      <c r="TBA27" s="55"/>
      <c r="TBB27" s="53"/>
      <c r="TBF27" s="28"/>
      <c r="TBH27" s="55"/>
      <c r="TBI27" s="53"/>
      <c r="TBM27" s="28"/>
      <c r="TBO27" s="55"/>
      <c r="TBP27" s="53"/>
      <c r="TBT27" s="28"/>
      <c r="TBV27" s="55"/>
      <c r="TBW27" s="53"/>
      <c r="TCA27" s="28"/>
      <c r="TCC27" s="55"/>
      <c r="TCD27" s="53"/>
      <c r="TCH27" s="28"/>
      <c r="TCJ27" s="55"/>
      <c r="TCK27" s="53"/>
      <c r="TCO27" s="28"/>
      <c r="TCQ27" s="55"/>
      <c r="TCR27" s="53"/>
      <c r="TCV27" s="28"/>
      <c r="TCX27" s="55"/>
      <c r="TCY27" s="53"/>
      <c r="TDC27" s="28"/>
      <c r="TDE27" s="55"/>
      <c r="TDF27" s="53"/>
      <c r="TDJ27" s="28"/>
      <c r="TDL27" s="55"/>
      <c r="TDM27" s="53"/>
      <c r="TDQ27" s="28"/>
      <c r="TDS27" s="55"/>
      <c r="TDT27" s="53"/>
      <c r="TDX27" s="28"/>
      <c r="TDZ27" s="55"/>
      <c r="TEA27" s="53"/>
      <c r="TEE27" s="28"/>
      <c r="TEG27" s="55"/>
      <c r="TEH27" s="53"/>
      <c r="TEL27" s="28"/>
      <c r="TEN27" s="55"/>
      <c r="TEO27" s="53"/>
      <c r="TES27" s="28"/>
      <c r="TEU27" s="55"/>
      <c r="TEV27" s="53"/>
      <c r="TEZ27" s="28"/>
      <c r="TFB27" s="55"/>
      <c r="TFC27" s="53"/>
      <c r="TFG27" s="28"/>
      <c r="TFI27" s="55"/>
      <c r="TFJ27" s="53"/>
      <c r="TFN27" s="28"/>
      <c r="TFP27" s="55"/>
      <c r="TFQ27" s="53"/>
      <c r="TFU27" s="28"/>
      <c r="TFW27" s="55"/>
      <c r="TFX27" s="53"/>
      <c r="TGB27" s="28"/>
      <c r="TGD27" s="55"/>
      <c r="TGE27" s="53"/>
      <c r="TGI27" s="28"/>
      <c r="TGK27" s="55"/>
      <c r="TGL27" s="53"/>
      <c r="TGP27" s="28"/>
      <c r="TGR27" s="55"/>
      <c r="TGS27" s="53"/>
      <c r="TGW27" s="28"/>
      <c r="TGY27" s="55"/>
      <c r="TGZ27" s="53"/>
      <c r="THD27" s="28"/>
      <c r="THF27" s="55"/>
      <c r="THG27" s="53"/>
      <c r="THK27" s="28"/>
      <c r="THM27" s="55"/>
      <c r="THN27" s="53"/>
      <c r="THR27" s="28"/>
      <c r="THT27" s="55"/>
      <c r="THU27" s="53"/>
      <c r="THY27" s="28"/>
      <c r="TIA27" s="55"/>
      <c r="TIB27" s="53"/>
      <c r="TIF27" s="28"/>
      <c r="TIH27" s="55"/>
      <c r="TII27" s="53"/>
      <c r="TIM27" s="28"/>
      <c r="TIO27" s="55"/>
      <c r="TIP27" s="53"/>
      <c r="TIT27" s="28"/>
      <c r="TIV27" s="55"/>
      <c r="TIW27" s="53"/>
      <c r="TJA27" s="28"/>
      <c r="TJC27" s="55"/>
      <c r="TJD27" s="53"/>
      <c r="TJH27" s="28"/>
      <c r="TJJ27" s="55"/>
      <c r="TJK27" s="53"/>
      <c r="TJO27" s="28"/>
      <c r="TJQ27" s="55"/>
      <c r="TJR27" s="53"/>
      <c r="TJV27" s="28"/>
      <c r="TJX27" s="55"/>
      <c r="TJY27" s="53"/>
      <c r="TKC27" s="28"/>
      <c r="TKE27" s="55"/>
      <c r="TKF27" s="53"/>
      <c r="TKJ27" s="28"/>
      <c r="TKL27" s="55"/>
      <c r="TKM27" s="53"/>
      <c r="TKQ27" s="28"/>
      <c r="TKS27" s="55"/>
      <c r="TKT27" s="53"/>
      <c r="TKX27" s="28"/>
      <c r="TKZ27" s="55"/>
      <c r="TLA27" s="53"/>
      <c r="TLE27" s="28"/>
      <c r="TLG27" s="55"/>
      <c r="TLH27" s="53"/>
      <c r="TLL27" s="28"/>
      <c r="TLN27" s="55"/>
      <c r="TLO27" s="53"/>
      <c r="TLS27" s="28"/>
      <c r="TLU27" s="55"/>
      <c r="TLV27" s="53"/>
      <c r="TLZ27" s="28"/>
      <c r="TMB27" s="55"/>
      <c r="TMC27" s="53"/>
      <c r="TMG27" s="28"/>
      <c r="TMI27" s="55"/>
      <c r="TMJ27" s="53"/>
      <c r="TMN27" s="28"/>
      <c r="TMP27" s="55"/>
      <c r="TMQ27" s="53"/>
      <c r="TMU27" s="28"/>
      <c r="TMW27" s="55"/>
      <c r="TMX27" s="53"/>
      <c r="TNB27" s="28"/>
      <c r="TND27" s="55"/>
      <c r="TNE27" s="53"/>
      <c r="TNI27" s="28"/>
      <c r="TNK27" s="55"/>
      <c r="TNL27" s="53"/>
      <c r="TNP27" s="28"/>
      <c r="TNR27" s="55"/>
      <c r="TNS27" s="53"/>
      <c r="TNW27" s="28"/>
      <c r="TNY27" s="55"/>
      <c r="TNZ27" s="53"/>
      <c r="TOD27" s="28"/>
      <c r="TOF27" s="55"/>
      <c r="TOG27" s="53"/>
      <c r="TOK27" s="28"/>
      <c r="TOM27" s="55"/>
      <c r="TON27" s="53"/>
      <c r="TOR27" s="28"/>
      <c r="TOT27" s="55"/>
      <c r="TOU27" s="53"/>
      <c r="TOY27" s="28"/>
      <c r="TPA27" s="55"/>
      <c r="TPB27" s="53"/>
      <c r="TPF27" s="28"/>
      <c r="TPH27" s="55"/>
      <c r="TPI27" s="53"/>
      <c r="TPM27" s="28"/>
      <c r="TPO27" s="55"/>
      <c r="TPP27" s="53"/>
      <c r="TPT27" s="28"/>
      <c r="TPV27" s="55"/>
      <c r="TPW27" s="53"/>
      <c r="TQA27" s="28"/>
      <c r="TQC27" s="55"/>
      <c r="TQD27" s="53"/>
      <c r="TQH27" s="28"/>
      <c r="TQJ27" s="55"/>
      <c r="TQK27" s="53"/>
      <c r="TQO27" s="28"/>
      <c r="TQQ27" s="55"/>
      <c r="TQR27" s="53"/>
      <c r="TQV27" s="28"/>
      <c r="TQX27" s="55"/>
      <c r="TQY27" s="53"/>
      <c r="TRC27" s="28"/>
      <c r="TRE27" s="55"/>
      <c r="TRF27" s="53"/>
      <c r="TRJ27" s="28"/>
      <c r="TRL27" s="55"/>
      <c r="TRM27" s="53"/>
      <c r="TRQ27" s="28"/>
      <c r="TRS27" s="55"/>
      <c r="TRT27" s="53"/>
      <c r="TRX27" s="28"/>
      <c r="TRZ27" s="55"/>
      <c r="TSA27" s="53"/>
      <c r="TSE27" s="28"/>
      <c r="TSG27" s="55"/>
      <c r="TSH27" s="53"/>
      <c r="TSL27" s="28"/>
      <c r="TSN27" s="55"/>
      <c r="TSO27" s="53"/>
      <c r="TSS27" s="28"/>
      <c r="TSU27" s="55"/>
      <c r="TSV27" s="53"/>
      <c r="TSZ27" s="28"/>
      <c r="TTB27" s="55"/>
      <c r="TTC27" s="53"/>
      <c r="TTG27" s="28"/>
      <c r="TTI27" s="55"/>
      <c r="TTJ27" s="53"/>
      <c r="TTN27" s="28"/>
      <c r="TTP27" s="55"/>
      <c r="TTQ27" s="53"/>
      <c r="TTU27" s="28"/>
      <c r="TTW27" s="55"/>
      <c r="TTX27" s="53"/>
      <c r="TUB27" s="28"/>
      <c r="TUD27" s="55"/>
      <c r="TUE27" s="53"/>
      <c r="TUI27" s="28"/>
      <c r="TUK27" s="55"/>
      <c r="TUL27" s="53"/>
      <c r="TUP27" s="28"/>
      <c r="TUR27" s="55"/>
      <c r="TUS27" s="53"/>
      <c r="TUW27" s="28"/>
      <c r="TUY27" s="55"/>
      <c r="TUZ27" s="53"/>
      <c r="TVD27" s="28"/>
      <c r="TVF27" s="55"/>
      <c r="TVG27" s="53"/>
      <c r="TVK27" s="28"/>
      <c r="TVM27" s="55"/>
      <c r="TVN27" s="53"/>
      <c r="TVR27" s="28"/>
      <c r="TVT27" s="55"/>
      <c r="TVU27" s="53"/>
      <c r="TVY27" s="28"/>
      <c r="TWA27" s="55"/>
      <c r="TWB27" s="53"/>
      <c r="TWF27" s="28"/>
      <c r="TWH27" s="55"/>
      <c r="TWI27" s="53"/>
      <c r="TWM27" s="28"/>
      <c r="TWO27" s="55"/>
      <c r="TWP27" s="53"/>
      <c r="TWT27" s="28"/>
      <c r="TWV27" s="55"/>
      <c r="TWW27" s="53"/>
      <c r="TXA27" s="28"/>
      <c r="TXC27" s="55"/>
      <c r="TXD27" s="53"/>
      <c r="TXH27" s="28"/>
      <c r="TXJ27" s="55"/>
      <c r="TXK27" s="53"/>
      <c r="TXO27" s="28"/>
      <c r="TXQ27" s="55"/>
      <c r="TXR27" s="53"/>
      <c r="TXV27" s="28"/>
      <c r="TXX27" s="55"/>
      <c r="TXY27" s="53"/>
      <c r="TYC27" s="28"/>
      <c r="TYE27" s="55"/>
      <c r="TYF27" s="53"/>
      <c r="TYJ27" s="28"/>
      <c r="TYL27" s="55"/>
      <c r="TYM27" s="53"/>
      <c r="TYQ27" s="28"/>
      <c r="TYS27" s="55"/>
      <c r="TYT27" s="53"/>
      <c r="TYX27" s="28"/>
      <c r="TYZ27" s="55"/>
      <c r="TZA27" s="53"/>
      <c r="TZE27" s="28"/>
      <c r="TZG27" s="55"/>
      <c r="TZH27" s="53"/>
      <c r="TZL27" s="28"/>
      <c r="TZN27" s="55"/>
      <c r="TZO27" s="53"/>
      <c r="TZS27" s="28"/>
      <c r="TZU27" s="55"/>
      <c r="TZV27" s="53"/>
      <c r="TZZ27" s="28"/>
      <c r="UAB27" s="55"/>
      <c r="UAC27" s="53"/>
      <c r="UAG27" s="28"/>
      <c r="UAI27" s="55"/>
      <c r="UAJ27" s="53"/>
      <c r="UAN27" s="28"/>
      <c r="UAP27" s="55"/>
      <c r="UAQ27" s="53"/>
      <c r="UAU27" s="28"/>
      <c r="UAW27" s="55"/>
      <c r="UAX27" s="53"/>
      <c r="UBB27" s="28"/>
      <c r="UBD27" s="55"/>
      <c r="UBE27" s="53"/>
      <c r="UBI27" s="28"/>
      <c r="UBK27" s="55"/>
      <c r="UBL27" s="53"/>
      <c r="UBP27" s="28"/>
      <c r="UBR27" s="55"/>
      <c r="UBS27" s="53"/>
      <c r="UBW27" s="28"/>
      <c r="UBY27" s="55"/>
      <c r="UBZ27" s="53"/>
      <c r="UCD27" s="28"/>
      <c r="UCF27" s="55"/>
      <c r="UCG27" s="53"/>
      <c r="UCK27" s="28"/>
      <c r="UCM27" s="55"/>
      <c r="UCN27" s="53"/>
      <c r="UCR27" s="28"/>
      <c r="UCT27" s="55"/>
      <c r="UCU27" s="53"/>
      <c r="UCY27" s="28"/>
      <c r="UDA27" s="55"/>
      <c r="UDB27" s="53"/>
      <c r="UDF27" s="28"/>
      <c r="UDH27" s="55"/>
      <c r="UDI27" s="53"/>
      <c r="UDM27" s="28"/>
      <c r="UDO27" s="55"/>
      <c r="UDP27" s="53"/>
      <c r="UDT27" s="28"/>
      <c r="UDV27" s="55"/>
      <c r="UDW27" s="53"/>
      <c r="UEA27" s="28"/>
      <c r="UEC27" s="55"/>
      <c r="UED27" s="53"/>
      <c r="UEH27" s="28"/>
      <c r="UEJ27" s="55"/>
      <c r="UEK27" s="53"/>
      <c r="UEO27" s="28"/>
      <c r="UEQ27" s="55"/>
      <c r="UER27" s="53"/>
      <c r="UEV27" s="28"/>
      <c r="UEX27" s="55"/>
      <c r="UEY27" s="53"/>
      <c r="UFC27" s="28"/>
      <c r="UFE27" s="55"/>
      <c r="UFF27" s="53"/>
      <c r="UFJ27" s="28"/>
      <c r="UFL27" s="55"/>
      <c r="UFM27" s="53"/>
      <c r="UFQ27" s="28"/>
      <c r="UFS27" s="55"/>
      <c r="UFT27" s="53"/>
      <c r="UFX27" s="28"/>
      <c r="UFZ27" s="55"/>
      <c r="UGA27" s="53"/>
      <c r="UGE27" s="28"/>
      <c r="UGG27" s="55"/>
      <c r="UGH27" s="53"/>
      <c r="UGL27" s="28"/>
      <c r="UGN27" s="55"/>
      <c r="UGO27" s="53"/>
      <c r="UGS27" s="28"/>
      <c r="UGU27" s="55"/>
      <c r="UGV27" s="53"/>
      <c r="UGZ27" s="28"/>
      <c r="UHB27" s="55"/>
      <c r="UHC27" s="53"/>
      <c r="UHG27" s="28"/>
      <c r="UHI27" s="55"/>
      <c r="UHJ27" s="53"/>
      <c r="UHN27" s="28"/>
      <c r="UHP27" s="55"/>
      <c r="UHQ27" s="53"/>
      <c r="UHU27" s="28"/>
      <c r="UHW27" s="55"/>
      <c r="UHX27" s="53"/>
      <c r="UIB27" s="28"/>
      <c r="UID27" s="55"/>
      <c r="UIE27" s="53"/>
      <c r="UII27" s="28"/>
      <c r="UIK27" s="55"/>
      <c r="UIL27" s="53"/>
      <c r="UIP27" s="28"/>
      <c r="UIR27" s="55"/>
      <c r="UIS27" s="53"/>
      <c r="UIW27" s="28"/>
      <c r="UIY27" s="55"/>
      <c r="UIZ27" s="53"/>
      <c r="UJD27" s="28"/>
      <c r="UJF27" s="55"/>
      <c r="UJG27" s="53"/>
      <c r="UJK27" s="28"/>
      <c r="UJM27" s="55"/>
      <c r="UJN27" s="53"/>
      <c r="UJR27" s="28"/>
      <c r="UJT27" s="55"/>
      <c r="UJU27" s="53"/>
      <c r="UJY27" s="28"/>
      <c r="UKA27" s="55"/>
      <c r="UKB27" s="53"/>
      <c r="UKF27" s="28"/>
      <c r="UKH27" s="55"/>
      <c r="UKI27" s="53"/>
      <c r="UKM27" s="28"/>
      <c r="UKO27" s="55"/>
      <c r="UKP27" s="53"/>
      <c r="UKT27" s="28"/>
      <c r="UKV27" s="55"/>
      <c r="UKW27" s="53"/>
      <c r="ULA27" s="28"/>
      <c r="ULC27" s="55"/>
      <c r="ULD27" s="53"/>
      <c r="ULH27" s="28"/>
      <c r="ULJ27" s="55"/>
      <c r="ULK27" s="53"/>
      <c r="ULO27" s="28"/>
      <c r="ULQ27" s="55"/>
      <c r="ULR27" s="53"/>
      <c r="ULV27" s="28"/>
      <c r="ULX27" s="55"/>
      <c r="ULY27" s="53"/>
      <c r="UMC27" s="28"/>
      <c r="UME27" s="55"/>
      <c r="UMF27" s="53"/>
      <c r="UMJ27" s="28"/>
      <c r="UML27" s="55"/>
      <c r="UMM27" s="53"/>
      <c r="UMQ27" s="28"/>
      <c r="UMS27" s="55"/>
      <c r="UMT27" s="53"/>
      <c r="UMX27" s="28"/>
      <c r="UMZ27" s="55"/>
      <c r="UNA27" s="53"/>
      <c r="UNE27" s="28"/>
      <c r="UNG27" s="55"/>
      <c r="UNH27" s="53"/>
      <c r="UNL27" s="28"/>
      <c r="UNN27" s="55"/>
      <c r="UNO27" s="53"/>
      <c r="UNS27" s="28"/>
      <c r="UNU27" s="55"/>
      <c r="UNV27" s="53"/>
      <c r="UNZ27" s="28"/>
      <c r="UOB27" s="55"/>
      <c r="UOC27" s="53"/>
      <c r="UOG27" s="28"/>
      <c r="UOI27" s="55"/>
      <c r="UOJ27" s="53"/>
      <c r="UON27" s="28"/>
      <c r="UOP27" s="55"/>
      <c r="UOQ27" s="53"/>
      <c r="UOU27" s="28"/>
      <c r="UOW27" s="55"/>
      <c r="UOX27" s="53"/>
      <c r="UPB27" s="28"/>
      <c r="UPD27" s="55"/>
      <c r="UPE27" s="53"/>
      <c r="UPI27" s="28"/>
      <c r="UPK27" s="55"/>
      <c r="UPL27" s="53"/>
      <c r="UPP27" s="28"/>
      <c r="UPR27" s="55"/>
      <c r="UPS27" s="53"/>
      <c r="UPW27" s="28"/>
      <c r="UPY27" s="55"/>
      <c r="UPZ27" s="53"/>
      <c r="UQD27" s="28"/>
      <c r="UQF27" s="55"/>
      <c r="UQG27" s="53"/>
      <c r="UQK27" s="28"/>
      <c r="UQM27" s="55"/>
      <c r="UQN27" s="53"/>
      <c r="UQR27" s="28"/>
      <c r="UQT27" s="55"/>
      <c r="UQU27" s="53"/>
      <c r="UQY27" s="28"/>
      <c r="URA27" s="55"/>
      <c r="URB27" s="53"/>
      <c r="URF27" s="28"/>
      <c r="URH27" s="55"/>
      <c r="URI27" s="53"/>
      <c r="URM27" s="28"/>
      <c r="URO27" s="55"/>
      <c r="URP27" s="53"/>
      <c r="URT27" s="28"/>
      <c r="URV27" s="55"/>
      <c r="URW27" s="53"/>
      <c r="USA27" s="28"/>
      <c r="USC27" s="55"/>
      <c r="USD27" s="53"/>
      <c r="USH27" s="28"/>
      <c r="USJ27" s="55"/>
      <c r="USK27" s="53"/>
      <c r="USO27" s="28"/>
      <c r="USQ27" s="55"/>
      <c r="USR27" s="53"/>
      <c r="USV27" s="28"/>
      <c r="USX27" s="55"/>
      <c r="USY27" s="53"/>
      <c r="UTC27" s="28"/>
      <c r="UTE27" s="55"/>
      <c r="UTF27" s="53"/>
      <c r="UTJ27" s="28"/>
      <c r="UTL27" s="55"/>
      <c r="UTM27" s="53"/>
      <c r="UTQ27" s="28"/>
      <c r="UTS27" s="55"/>
      <c r="UTT27" s="53"/>
      <c r="UTX27" s="28"/>
      <c r="UTZ27" s="55"/>
      <c r="UUA27" s="53"/>
      <c r="UUE27" s="28"/>
      <c r="UUG27" s="55"/>
      <c r="UUH27" s="53"/>
      <c r="UUL27" s="28"/>
      <c r="UUN27" s="55"/>
      <c r="UUO27" s="53"/>
      <c r="UUS27" s="28"/>
      <c r="UUU27" s="55"/>
      <c r="UUV27" s="53"/>
      <c r="UUZ27" s="28"/>
      <c r="UVB27" s="55"/>
      <c r="UVC27" s="53"/>
      <c r="UVG27" s="28"/>
      <c r="UVI27" s="55"/>
      <c r="UVJ27" s="53"/>
      <c r="UVN27" s="28"/>
      <c r="UVP27" s="55"/>
      <c r="UVQ27" s="53"/>
      <c r="UVU27" s="28"/>
      <c r="UVW27" s="55"/>
      <c r="UVX27" s="53"/>
      <c r="UWB27" s="28"/>
      <c r="UWD27" s="55"/>
      <c r="UWE27" s="53"/>
      <c r="UWI27" s="28"/>
      <c r="UWK27" s="55"/>
      <c r="UWL27" s="53"/>
      <c r="UWP27" s="28"/>
      <c r="UWR27" s="55"/>
      <c r="UWS27" s="53"/>
      <c r="UWW27" s="28"/>
      <c r="UWY27" s="55"/>
      <c r="UWZ27" s="53"/>
      <c r="UXD27" s="28"/>
      <c r="UXF27" s="55"/>
      <c r="UXG27" s="53"/>
      <c r="UXK27" s="28"/>
      <c r="UXM27" s="55"/>
      <c r="UXN27" s="53"/>
      <c r="UXR27" s="28"/>
      <c r="UXT27" s="55"/>
      <c r="UXU27" s="53"/>
      <c r="UXY27" s="28"/>
      <c r="UYA27" s="55"/>
      <c r="UYB27" s="53"/>
      <c r="UYF27" s="28"/>
      <c r="UYH27" s="55"/>
      <c r="UYI27" s="53"/>
      <c r="UYM27" s="28"/>
      <c r="UYO27" s="55"/>
      <c r="UYP27" s="53"/>
      <c r="UYT27" s="28"/>
      <c r="UYV27" s="55"/>
      <c r="UYW27" s="53"/>
      <c r="UZA27" s="28"/>
      <c r="UZC27" s="55"/>
      <c r="UZD27" s="53"/>
      <c r="UZH27" s="28"/>
      <c r="UZJ27" s="55"/>
      <c r="UZK27" s="53"/>
      <c r="UZO27" s="28"/>
      <c r="UZQ27" s="55"/>
      <c r="UZR27" s="53"/>
      <c r="UZV27" s="28"/>
      <c r="UZX27" s="55"/>
      <c r="UZY27" s="53"/>
      <c r="VAC27" s="28"/>
      <c r="VAE27" s="55"/>
      <c r="VAF27" s="53"/>
      <c r="VAJ27" s="28"/>
      <c r="VAL27" s="55"/>
      <c r="VAM27" s="53"/>
      <c r="VAQ27" s="28"/>
      <c r="VAS27" s="55"/>
      <c r="VAT27" s="53"/>
      <c r="VAX27" s="28"/>
      <c r="VAZ27" s="55"/>
      <c r="VBA27" s="53"/>
      <c r="VBE27" s="28"/>
      <c r="VBG27" s="55"/>
      <c r="VBH27" s="53"/>
      <c r="VBL27" s="28"/>
      <c r="VBN27" s="55"/>
      <c r="VBO27" s="53"/>
      <c r="VBS27" s="28"/>
      <c r="VBU27" s="55"/>
      <c r="VBV27" s="53"/>
      <c r="VBZ27" s="28"/>
      <c r="VCB27" s="55"/>
      <c r="VCC27" s="53"/>
      <c r="VCG27" s="28"/>
      <c r="VCI27" s="55"/>
      <c r="VCJ27" s="53"/>
      <c r="VCN27" s="28"/>
      <c r="VCP27" s="55"/>
      <c r="VCQ27" s="53"/>
      <c r="VCU27" s="28"/>
      <c r="VCW27" s="55"/>
      <c r="VCX27" s="53"/>
      <c r="VDB27" s="28"/>
      <c r="VDD27" s="55"/>
      <c r="VDE27" s="53"/>
      <c r="VDI27" s="28"/>
      <c r="VDK27" s="55"/>
      <c r="VDL27" s="53"/>
      <c r="VDP27" s="28"/>
      <c r="VDR27" s="55"/>
      <c r="VDS27" s="53"/>
      <c r="VDW27" s="28"/>
      <c r="VDY27" s="55"/>
      <c r="VDZ27" s="53"/>
      <c r="VED27" s="28"/>
      <c r="VEF27" s="55"/>
      <c r="VEG27" s="53"/>
      <c r="VEK27" s="28"/>
      <c r="VEM27" s="55"/>
      <c r="VEN27" s="53"/>
      <c r="VER27" s="28"/>
      <c r="VET27" s="55"/>
      <c r="VEU27" s="53"/>
      <c r="VEY27" s="28"/>
      <c r="VFA27" s="55"/>
      <c r="VFB27" s="53"/>
      <c r="VFF27" s="28"/>
      <c r="VFH27" s="55"/>
      <c r="VFI27" s="53"/>
      <c r="VFM27" s="28"/>
      <c r="VFO27" s="55"/>
      <c r="VFP27" s="53"/>
      <c r="VFT27" s="28"/>
      <c r="VFV27" s="55"/>
      <c r="VFW27" s="53"/>
      <c r="VGA27" s="28"/>
      <c r="VGC27" s="55"/>
      <c r="VGD27" s="53"/>
      <c r="VGH27" s="28"/>
      <c r="VGJ27" s="55"/>
      <c r="VGK27" s="53"/>
      <c r="VGO27" s="28"/>
      <c r="VGQ27" s="55"/>
      <c r="VGR27" s="53"/>
      <c r="VGV27" s="28"/>
      <c r="VGX27" s="55"/>
      <c r="VGY27" s="53"/>
      <c r="VHC27" s="28"/>
      <c r="VHE27" s="55"/>
      <c r="VHF27" s="53"/>
      <c r="VHJ27" s="28"/>
      <c r="VHL27" s="55"/>
      <c r="VHM27" s="53"/>
      <c r="VHQ27" s="28"/>
      <c r="VHS27" s="55"/>
      <c r="VHT27" s="53"/>
      <c r="VHX27" s="28"/>
      <c r="VHZ27" s="55"/>
      <c r="VIA27" s="53"/>
      <c r="VIE27" s="28"/>
      <c r="VIG27" s="55"/>
      <c r="VIH27" s="53"/>
      <c r="VIL27" s="28"/>
      <c r="VIN27" s="55"/>
      <c r="VIO27" s="53"/>
      <c r="VIS27" s="28"/>
      <c r="VIU27" s="55"/>
      <c r="VIV27" s="53"/>
      <c r="VIZ27" s="28"/>
      <c r="VJB27" s="55"/>
      <c r="VJC27" s="53"/>
      <c r="VJG27" s="28"/>
      <c r="VJI27" s="55"/>
      <c r="VJJ27" s="53"/>
      <c r="VJN27" s="28"/>
      <c r="VJP27" s="55"/>
      <c r="VJQ27" s="53"/>
      <c r="VJU27" s="28"/>
      <c r="VJW27" s="55"/>
      <c r="VJX27" s="53"/>
      <c r="VKB27" s="28"/>
      <c r="VKD27" s="55"/>
      <c r="VKE27" s="53"/>
      <c r="VKI27" s="28"/>
      <c r="VKK27" s="55"/>
      <c r="VKL27" s="53"/>
      <c r="VKP27" s="28"/>
      <c r="VKR27" s="55"/>
      <c r="VKS27" s="53"/>
      <c r="VKW27" s="28"/>
      <c r="VKY27" s="55"/>
      <c r="VKZ27" s="53"/>
      <c r="VLD27" s="28"/>
      <c r="VLF27" s="55"/>
      <c r="VLG27" s="53"/>
      <c r="VLK27" s="28"/>
      <c r="VLM27" s="55"/>
      <c r="VLN27" s="53"/>
      <c r="VLR27" s="28"/>
      <c r="VLT27" s="55"/>
      <c r="VLU27" s="53"/>
      <c r="VLY27" s="28"/>
      <c r="VMA27" s="55"/>
      <c r="VMB27" s="53"/>
      <c r="VMF27" s="28"/>
      <c r="VMH27" s="55"/>
      <c r="VMI27" s="53"/>
      <c r="VMM27" s="28"/>
      <c r="VMO27" s="55"/>
      <c r="VMP27" s="53"/>
      <c r="VMT27" s="28"/>
      <c r="VMV27" s="55"/>
      <c r="VMW27" s="53"/>
      <c r="VNA27" s="28"/>
      <c r="VNC27" s="55"/>
      <c r="VND27" s="53"/>
      <c r="VNH27" s="28"/>
      <c r="VNJ27" s="55"/>
      <c r="VNK27" s="53"/>
      <c r="VNO27" s="28"/>
      <c r="VNQ27" s="55"/>
      <c r="VNR27" s="53"/>
      <c r="VNV27" s="28"/>
      <c r="VNX27" s="55"/>
      <c r="VNY27" s="53"/>
      <c r="VOC27" s="28"/>
      <c r="VOE27" s="55"/>
      <c r="VOF27" s="53"/>
      <c r="VOJ27" s="28"/>
      <c r="VOL27" s="55"/>
      <c r="VOM27" s="53"/>
      <c r="VOQ27" s="28"/>
      <c r="VOS27" s="55"/>
      <c r="VOT27" s="53"/>
      <c r="VOX27" s="28"/>
      <c r="VOZ27" s="55"/>
      <c r="VPA27" s="53"/>
      <c r="VPE27" s="28"/>
      <c r="VPG27" s="55"/>
      <c r="VPH27" s="53"/>
      <c r="VPL27" s="28"/>
      <c r="VPN27" s="55"/>
      <c r="VPO27" s="53"/>
      <c r="VPS27" s="28"/>
      <c r="VPU27" s="55"/>
      <c r="VPV27" s="53"/>
      <c r="VPZ27" s="28"/>
      <c r="VQB27" s="55"/>
      <c r="VQC27" s="53"/>
      <c r="VQG27" s="28"/>
      <c r="VQI27" s="55"/>
      <c r="VQJ27" s="53"/>
      <c r="VQN27" s="28"/>
      <c r="VQP27" s="55"/>
      <c r="VQQ27" s="53"/>
      <c r="VQU27" s="28"/>
      <c r="VQW27" s="55"/>
      <c r="VQX27" s="53"/>
      <c r="VRB27" s="28"/>
      <c r="VRD27" s="55"/>
      <c r="VRE27" s="53"/>
      <c r="VRI27" s="28"/>
      <c r="VRK27" s="55"/>
      <c r="VRL27" s="53"/>
      <c r="VRP27" s="28"/>
      <c r="VRR27" s="55"/>
      <c r="VRS27" s="53"/>
      <c r="VRW27" s="28"/>
      <c r="VRY27" s="55"/>
      <c r="VRZ27" s="53"/>
      <c r="VSD27" s="28"/>
      <c r="VSF27" s="55"/>
      <c r="VSG27" s="53"/>
      <c r="VSK27" s="28"/>
      <c r="VSM27" s="55"/>
      <c r="VSN27" s="53"/>
      <c r="VSR27" s="28"/>
      <c r="VST27" s="55"/>
      <c r="VSU27" s="53"/>
      <c r="VSY27" s="28"/>
      <c r="VTA27" s="55"/>
      <c r="VTB27" s="53"/>
      <c r="VTF27" s="28"/>
      <c r="VTH27" s="55"/>
      <c r="VTI27" s="53"/>
      <c r="VTM27" s="28"/>
      <c r="VTO27" s="55"/>
      <c r="VTP27" s="53"/>
      <c r="VTT27" s="28"/>
      <c r="VTV27" s="55"/>
      <c r="VTW27" s="53"/>
      <c r="VUA27" s="28"/>
      <c r="VUC27" s="55"/>
      <c r="VUD27" s="53"/>
      <c r="VUH27" s="28"/>
      <c r="VUJ27" s="55"/>
      <c r="VUK27" s="53"/>
      <c r="VUO27" s="28"/>
      <c r="VUQ27" s="55"/>
      <c r="VUR27" s="53"/>
      <c r="VUV27" s="28"/>
      <c r="VUX27" s="55"/>
      <c r="VUY27" s="53"/>
      <c r="VVC27" s="28"/>
      <c r="VVE27" s="55"/>
      <c r="VVF27" s="53"/>
      <c r="VVJ27" s="28"/>
      <c r="VVL27" s="55"/>
      <c r="VVM27" s="53"/>
      <c r="VVQ27" s="28"/>
      <c r="VVS27" s="55"/>
      <c r="VVT27" s="53"/>
      <c r="VVX27" s="28"/>
      <c r="VVZ27" s="55"/>
      <c r="VWA27" s="53"/>
      <c r="VWE27" s="28"/>
      <c r="VWG27" s="55"/>
      <c r="VWH27" s="53"/>
      <c r="VWL27" s="28"/>
      <c r="VWN27" s="55"/>
      <c r="VWO27" s="53"/>
      <c r="VWS27" s="28"/>
      <c r="VWU27" s="55"/>
      <c r="VWV27" s="53"/>
      <c r="VWZ27" s="28"/>
      <c r="VXB27" s="55"/>
      <c r="VXC27" s="53"/>
      <c r="VXG27" s="28"/>
      <c r="VXI27" s="55"/>
      <c r="VXJ27" s="53"/>
      <c r="VXN27" s="28"/>
      <c r="VXP27" s="55"/>
      <c r="VXQ27" s="53"/>
      <c r="VXU27" s="28"/>
      <c r="VXW27" s="55"/>
      <c r="VXX27" s="53"/>
      <c r="VYB27" s="28"/>
      <c r="VYD27" s="55"/>
      <c r="VYE27" s="53"/>
      <c r="VYI27" s="28"/>
      <c r="VYK27" s="55"/>
      <c r="VYL27" s="53"/>
      <c r="VYP27" s="28"/>
      <c r="VYR27" s="55"/>
      <c r="VYS27" s="53"/>
      <c r="VYW27" s="28"/>
      <c r="VYY27" s="55"/>
      <c r="VYZ27" s="53"/>
      <c r="VZD27" s="28"/>
      <c r="VZF27" s="55"/>
      <c r="VZG27" s="53"/>
      <c r="VZK27" s="28"/>
      <c r="VZM27" s="55"/>
      <c r="VZN27" s="53"/>
      <c r="VZR27" s="28"/>
      <c r="VZT27" s="55"/>
      <c r="VZU27" s="53"/>
      <c r="VZY27" s="28"/>
      <c r="WAA27" s="55"/>
      <c r="WAB27" s="53"/>
      <c r="WAF27" s="28"/>
      <c r="WAH27" s="55"/>
      <c r="WAI27" s="53"/>
      <c r="WAM27" s="28"/>
      <c r="WAO27" s="55"/>
      <c r="WAP27" s="53"/>
      <c r="WAT27" s="28"/>
      <c r="WAV27" s="55"/>
      <c r="WAW27" s="53"/>
      <c r="WBA27" s="28"/>
      <c r="WBC27" s="55"/>
      <c r="WBD27" s="53"/>
      <c r="WBH27" s="28"/>
      <c r="WBJ27" s="55"/>
      <c r="WBK27" s="53"/>
      <c r="WBO27" s="28"/>
      <c r="WBQ27" s="55"/>
      <c r="WBR27" s="53"/>
      <c r="WBV27" s="28"/>
      <c r="WBX27" s="55"/>
      <c r="WBY27" s="53"/>
      <c r="WCC27" s="28"/>
      <c r="WCE27" s="55"/>
      <c r="WCF27" s="53"/>
      <c r="WCJ27" s="28"/>
      <c r="WCL27" s="55"/>
      <c r="WCM27" s="53"/>
      <c r="WCQ27" s="28"/>
      <c r="WCS27" s="55"/>
      <c r="WCT27" s="53"/>
      <c r="WCX27" s="28"/>
      <c r="WCZ27" s="55"/>
      <c r="WDA27" s="53"/>
      <c r="WDE27" s="28"/>
      <c r="WDG27" s="55"/>
      <c r="WDH27" s="53"/>
      <c r="WDL27" s="28"/>
      <c r="WDN27" s="55"/>
      <c r="WDO27" s="53"/>
      <c r="WDS27" s="28"/>
      <c r="WDU27" s="55"/>
      <c r="WDV27" s="53"/>
      <c r="WDZ27" s="28"/>
      <c r="WEB27" s="55"/>
      <c r="WEC27" s="53"/>
      <c r="WEG27" s="28"/>
      <c r="WEI27" s="55"/>
      <c r="WEJ27" s="53"/>
      <c r="WEN27" s="28"/>
      <c r="WEP27" s="55"/>
      <c r="WEQ27" s="53"/>
      <c r="WEU27" s="28"/>
      <c r="WEW27" s="55"/>
      <c r="WEX27" s="53"/>
      <c r="WFB27" s="28"/>
      <c r="WFD27" s="55"/>
      <c r="WFE27" s="53"/>
      <c r="WFI27" s="28"/>
      <c r="WFK27" s="55"/>
      <c r="WFL27" s="53"/>
      <c r="WFP27" s="28"/>
      <c r="WFR27" s="55"/>
      <c r="WFS27" s="53"/>
      <c r="WFW27" s="28"/>
      <c r="WFY27" s="55"/>
      <c r="WFZ27" s="53"/>
      <c r="WGD27" s="28"/>
      <c r="WGF27" s="55"/>
      <c r="WGG27" s="53"/>
      <c r="WGK27" s="28"/>
      <c r="WGM27" s="55"/>
      <c r="WGN27" s="53"/>
      <c r="WGR27" s="28"/>
      <c r="WGT27" s="55"/>
      <c r="WGU27" s="53"/>
      <c r="WGY27" s="28"/>
      <c r="WHA27" s="55"/>
      <c r="WHB27" s="53"/>
      <c r="WHF27" s="28"/>
      <c r="WHH27" s="55"/>
      <c r="WHI27" s="53"/>
      <c r="WHM27" s="28"/>
      <c r="WHO27" s="55"/>
      <c r="WHP27" s="53"/>
      <c r="WHT27" s="28"/>
      <c r="WHV27" s="55"/>
      <c r="WHW27" s="53"/>
      <c r="WIA27" s="28"/>
      <c r="WIC27" s="55"/>
      <c r="WID27" s="53"/>
      <c r="WIH27" s="28"/>
      <c r="WIJ27" s="55"/>
      <c r="WIK27" s="53"/>
      <c r="WIO27" s="28"/>
      <c r="WIQ27" s="55"/>
      <c r="WIR27" s="53"/>
      <c r="WIV27" s="28"/>
      <c r="WIX27" s="55"/>
      <c r="WIY27" s="53"/>
      <c r="WJC27" s="28"/>
      <c r="WJE27" s="55"/>
      <c r="WJF27" s="53"/>
      <c r="WJJ27" s="28"/>
      <c r="WJL27" s="55"/>
      <c r="WJM27" s="53"/>
      <c r="WJQ27" s="28"/>
      <c r="WJS27" s="55"/>
      <c r="WJT27" s="53"/>
      <c r="WJX27" s="28"/>
      <c r="WJZ27" s="55"/>
      <c r="WKA27" s="53"/>
      <c r="WKE27" s="28"/>
      <c r="WKG27" s="55"/>
      <c r="WKH27" s="53"/>
      <c r="WKL27" s="28"/>
      <c r="WKN27" s="55"/>
      <c r="WKO27" s="53"/>
      <c r="WKS27" s="28"/>
      <c r="WKU27" s="55"/>
      <c r="WKV27" s="53"/>
      <c r="WKZ27" s="28"/>
      <c r="WLB27" s="55"/>
      <c r="WLC27" s="53"/>
      <c r="WLG27" s="28"/>
      <c r="WLI27" s="55"/>
      <c r="WLJ27" s="53"/>
      <c r="WLN27" s="28"/>
      <c r="WLP27" s="55"/>
      <c r="WLQ27" s="53"/>
      <c r="WLU27" s="28"/>
      <c r="WLW27" s="55"/>
      <c r="WLX27" s="53"/>
      <c r="WMB27" s="28"/>
      <c r="WMD27" s="55"/>
      <c r="WME27" s="53"/>
      <c r="WMI27" s="28"/>
      <c r="WMK27" s="55"/>
      <c r="WML27" s="53"/>
      <c r="WMP27" s="28"/>
      <c r="WMR27" s="55"/>
      <c r="WMS27" s="53"/>
      <c r="WMW27" s="28"/>
      <c r="WMY27" s="55"/>
      <c r="WMZ27" s="53"/>
      <c r="WND27" s="28"/>
      <c r="WNF27" s="55"/>
      <c r="WNG27" s="53"/>
      <c r="WNK27" s="28"/>
      <c r="WNM27" s="55"/>
      <c r="WNN27" s="53"/>
      <c r="WNR27" s="28"/>
      <c r="WNT27" s="55"/>
      <c r="WNU27" s="53"/>
      <c r="WNY27" s="28"/>
      <c r="WOA27" s="55"/>
      <c r="WOB27" s="53"/>
      <c r="WOF27" s="28"/>
      <c r="WOH27" s="55"/>
      <c r="WOI27" s="53"/>
      <c r="WOM27" s="28"/>
      <c r="WOO27" s="55"/>
      <c r="WOP27" s="53"/>
      <c r="WOT27" s="28"/>
      <c r="WOV27" s="55"/>
      <c r="WOW27" s="53"/>
      <c r="WPA27" s="28"/>
      <c r="WPC27" s="55"/>
      <c r="WPD27" s="53"/>
      <c r="WPH27" s="28"/>
      <c r="WPJ27" s="55"/>
      <c r="WPK27" s="53"/>
      <c r="WPO27" s="28"/>
      <c r="WPQ27" s="55"/>
      <c r="WPR27" s="53"/>
      <c r="WPV27" s="28"/>
      <c r="WPX27" s="55"/>
      <c r="WPY27" s="53"/>
      <c r="WQC27" s="28"/>
      <c r="WQE27" s="55"/>
      <c r="WQF27" s="53"/>
      <c r="WQJ27" s="28"/>
      <c r="WQL27" s="55"/>
      <c r="WQM27" s="53"/>
      <c r="WQQ27" s="28"/>
      <c r="WQS27" s="55"/>
      <c r="WQT27" s="53"/>
      <c r="WQX27" s="28"/>
      <c r="WQZ27" s="55"/>
      <c r="WRA27" s="53"/>
      <c r="WRE27" s="28"/>
      <c r="WRG27" s="55"/>
      <c r="WRH27" s="53"/>
      <c r="WRL27" s="28"/>
      <c r="WRN27" s="55"/>
      <c r="WRO27" s="53"/>
      <c r="WRS27" s="28"/>
      <c r="WRU27" s="55"/>
      <c r="WRV27" s="53"/>
      <c r="WRZ27" s="28"/>
      <c r="WSB27" s="55"/>
      <c r="WSC27" s="53"/>
      <c r="WSG27" s="28"/>
      <c r="WSI27" s="55"/>
      <c r="WSJ27" s="53"/>
      <c r="WSN27" s="28"/>
      <c r="WSP27" s="55"/>
      <c r="WSQ27" s="53"/>
      <c r="WSU27" s="28"/>
      <c r="WSW27" s="55"/>
      <c r="WSX27" s="53"/>
      <c r="WTB27" s="28"/>
      <c r="WTD27" s="55"/>
      <c r="WTE27" s="53"/>
      <c r="WTI27" s="28"/>
      <c r="WTK27" s="55"/>
      <c r="WTL27" s="53"/>
      <c r="WTP27" s="28"/>
      <c r="WTR27" s="55"/>
      <c r="WTS27" s="53"/>
      <c r="WTW27" s="28"/>
      <c r="WTY27" s="55"/>
      <c r="WTZ27" s="53"/>
      <c r="WUD27" s="28"/>
      <c r="WUF27" s="55"/>
      <c r="WUG27" s="53"/>
      <c r="WUK27" s="28"/>
      <c r="WUM27" s="55"/>
      <c r="WUN27" s="53"/>
      <c r="WUR27" s="28"/>
      <c r="WUT27" s="55"/>
      <c r="WUU27" s="53"/>
      <c r="WUY27" s="28"/>
      <c r="WVA27" s="55"/>
      <c r="WVB27" s="53"/>
      <c r="WVF27" s="28"/>
      <c r="WVH27" s="55"/>
      <c r="WVI27" s="53"/>
      <c r="WVM27" s="28"/>
      <c r="WVO27" s="55"/>
      <c r="WVP27" s="53"/>
      <c r="WVT27" s="28"/>
      <c r="WVV27" s="55"/>
      <c r="WVW27" s="53"/>
      <c r="WWA27" s="28"/>
      <c r="WWC27" s="55"/>
      <c r="WWD27" s="53"/>
      <c r="WWH27" s="28"/>
      <c r="WWJ27" s="55"/>
      <c r="WWK27" s="53"/>
      <c r="WWO27" s="28"/>
      <c r="WWQ27" s="55"/>
      <c r="WWR27" s="53"/>
      <c r="WWV27" s="28"/>
      <c r="WWX27" s="55"/>
      <c r="WWY27" s="53"/>
      <c r="WXC27" s="28"/>
      <c r="WXE27" s="55"/>
      <c r="WXF27" s="53"/>
      <c r="WXJ27" s="28"/>
      <c r="WXL27" s="55"/>
      <c r="WXM27" s="53"/>
      <c r="WXQ27" s="28"/>
      <c r="WXS27" s="55"/>
      <c r="WXT27" s="53"/>
      <c r="WXX27" s="28"/>
      <c r="WXZ27" s="55"/>
      <c r="WYA27" s="53"/>
      <c r="WYE27" s="28"/>
      <c r="WYG27" s="55"/>
      <c r="WYH27" s="53"/>
      <c r="WYL27" s="28"/>
      <c r="WYN27" s="55"/>
      <c r="WYO27" s="53"/>
      <c r="WYS27" s="28"/>
      <c r="WYU27" s="55"/>
      <c r="WYV27" s="53"/>
      <c r="WYZ27" s="28"/>
      <c r="WZB27" s="55"/>
      <c r="WZC27" s="53"/>
      <c r="WZG27" s="28"/>
      <c r="WZI27" s="55"/>
      <c r="WZJ27" s="53"/>
      <c r="WZN27" s="28"/>
      <c r="WZP27" s="55"/>
      <c r="WZQ27" s="53"/>
      <c r="WZU27" s="28"/>
      <c r="WZW27" s="55"/>
      <c r="WZX27" s="53"/>
      <c r="XAB27" s="28"/>
      <c r="XAD27" s="55"/>
      <c r="XAE27" s="53"/>
      <c r="XAI27" s="28"/>
      <c r="XAK27" s="55"/>
      <c r="XAL27" s="53"/>
      <c r="XAP27" s="28"/>
      <c r="XAR27" s="55"/>
      <c r="XAS27" s="53"/>
      <c r="XAW27" s="28"/>
      <c r="XAY27" s="55"/>
      <c r="XAZ27" s="53"/>
      <c r="XBD27" s="28"/>
      <c r="XBF27" s="55"/>
      <c r="XBG27" s="53"/>
      <c r="XBK27" s="28"/>
      <c r="XBM27" s="55"/>
      <c r="XBN27" s="53"/>
      <c r="XBR27" s="28"/>
      <c r="XBT27" s="55"/>
      <c r="XBU27" s="53"/>
      <c r="XBY27" s="28"/>
      <c r="XCA27" s="55"/>
      <c r="XCB27" s="53"/>
      <c r="XCF27" s="28"/>
      <c r="XCH27" s="55"/>
      <c r="XCI27" s="53"/>
      <c r="XCM27" s="28"/>
      <c r="XCO27" s="55"/>
      <c r="XCP27" s="53"/>
      <c r="XCT27" s="28"/>
      <c r="XCV27" s="55"/>
      <c r="XCW27" s="53"/>
      <c r="XDA27" s="28"/>
      <c r="XDC27" s="55"/>
      <c r="XDD27" s="53"/>
      <c r="XDH27" s="28"/>
      <c r="XDJ27" s="55"/>
      <c r="XDK27" s="53"/>
      <c r="XDO27" s="28"/>
      <c r="XDQ27" s="55"/>
      <c r="XDR27" s="53"/>
      <c r="XDV27" s="28"/>
      <c r="XDX27" s="55"/>
      <c r="XDY27" s="53"/>
      <c r="XEC27" s="28"/>
      <c r="XEE27" s="55"/>
      <c r="XEF27" s="53"/>
      <c r="XEJ27" s="28"/>
      <c r="XEL27" s="55"/>
      <c r="XEM27" s="53"/>
      <c r="XEQ27" s="28"/>
      <c r="XES27" s="55"/>
      <c r="XET27" s="53"/>
      <c r="XEX27" s="28"/>
      <c r="XEZ27" s="55"/>
      <c r="XFA27" s="53"/>
    </row>
    <row r="28" spans="1:1023 1027:2045 2049:3071 3073:4096 4100:5118 5122:6144 6146:8191 8195:9213 9217:10239 10241:11264 11268:12286 12290:13312 13314:15359 15363:16381" s="54" customFormat="1" ht="15" customHeight="1">
      <c r="A28" s="37" t="s">
        <v>224</v>
      </c>
      <c r="B28" s="38" t="s">
        <v>225</v>
      </c>
      <c r="C28" s="38" t="s">
        <v>226</v>
      </c>
      <c r="D28" s="38" t="s">
        <v>227</v>
      </c>
      <c r="E28" s="39">
        <v>27600</v>
      </c>
      <c r="F28" s="50" t="s">
        <v>108</v>
      </c>
      <c r="G28" s="40" t="s">
        <v>228</v>
      </c>
      <c r="H28" s="53"/>
      <c r="L28" s="28"/>
      <c r="N28" s="55"/>
      <c r="O28" s="53"/>
      <c r="S28" s="28"/>
      <c r="U28" s="55"/>
      <c r="V28" s="53"/>
      <c r="Z28" s="28"/>
      <c r="AB28" s="55"/>
      <c r="AC28" s="53"/>
      <c r="AG28" s="28"/>
      <c r="AI28" s="55"/>
      <c r="AJ28" s="53"/>
      <c r="AN28" s="28"/>
      <c r="AP28" s="55"/>
      <c r="AQ28" s="53"/>
      <c r="AU28" s="28"/>
      <c r="AW28" s="55"/>
      <c r="AX28" s="53"/>
      <c r="BB28" s="28"/>
      <c r="BD28" s="55"/>
      <c r="BE28" s="53"/>
      <c r="BI28" s="28"/>
      <c r="BK28" s="55"/>
      <c r="BL28" s="53"/>
      <c r="BP28" s="28"/>
      <c r="BR28" s="55"/>
      <c r="BS28" s="53"/>
      <c r="BW28" s="28"/>
      <c r="BY28" s="55"/>
      <c r="BZ28" s="53"/>
      <c r="CD28" s="28"/>
      <c r="CF28" s="55"/>
      <c r="CG28" s="53"/>
      <c r="CK28" s="28"/>
      <c r="CM28" s="55"/>
      <c r="CN28" s="53"/>
      <c r="CR28" s="28"/>
      <c r="CT28" s="55"/>
      <c r="CU28" s="53"/>
      <c r="CY28" s="28"/>
      <c r="DA28" s="55"/>
      <c r="DB28" s="53"/>
      <c r="DF28" s="28"/>
      <c r="DH28" s="55"/>
      <c r="DI28" s="53"/>
      <c r="DM28" s="28"/>
      <c r="DO28" s="55"/>
      <c r="DP28" s="53"/>
      <c r="DT28" s="28"/>
      <c r="DV28" s="55"/>
      <c r="DW28" s="53"/>
      <c r="EA28" s="28"/>
      <c r="EC28" s="55"/>
      <c r="ED28" s="53"/>
      <c r="EH28" s="28"/>
      <c r="EJ28" s="55"/>
      <c r="EK28" s="53"/>
      <c r="EO28" s="28"/>
      <c r="EQ28" s="55"/>
      <c r="ER28" s="53"/>
      <c r="EV28" s="28"/>
      <c r="EX28" s="55"/>
      <c r="EY28" s="53"/>
      <c r="FC28" s="28"/>
      <c r="FE28" s="55"/>
      <c r="FF28" s="53"/>
      <c r="FJ28" s="28"/>
      <c r="FL28" s="55"/>
      <c r="FM28" s="53"/>
      <c r="FQ28" s="28"/>
      <c r="FS28" s="55"/>
      <c r="FT28" s="53"/>
      <c r="FX28" s="28"/>
      <c r="FZ28" s="55"/>
      <c r="GA28" s="53"/>
      <c r="GE28" s="28"/>
      <c r="GG28" s="55"/>
      <c r="GH28" s="53"/>
      <c r="GL28" s="28"/>
      <c r="GN28" s="55"/>
      <c r="GO28" s="53"/>
      <c r="GS28" s="28"/>
      <c r="GU28" s="55"/>
      <c r="GV28" s="53"/>
      <c r="GZ28" s="28"/>
      <c r="HB28" s="55"/>
      <c r="HC28" s="53"/>
      <c r="HG28" s="28"/>
      <c r="HI28" s="55"/>
      <c r="HJ28" s="53"/>
      <c r="HN28" s="28"/>
      <c r="HP28" s="55"/>
      <c r="HQ28" s="53"/>
      <c r="HU28" s="28"/>
      <c r="HW28" s="55"/>
      <c r="HX28" s="53"/>
      <c r="IB28" s="28"/>
      <c r="ID28" s="55"/>
      <c r="IE28" s="53"/>
      <c r="II28" s="28"/>
      <c r="IK28" s="55"/>
      <c r="IL28" s="53"/>
      <c r="IP28" s="28"/>
      <c r="IR28" s="55"/>
      <c r="IS28" s="53"/>
      <c r="IW28" s="28"/>
      <c r="IY28" s="55"/>
      <c r="IZ28" s="53"/>
      <c r="JD28" s="28"/>
      <c r="JF28" s="55"/>
      <c r="JG28" s="53"/>
      <c r="JK28" s="28"/>
      <c r="JM28" s="55"/>
      <c r="JN28" s="53"/>
      <c r="JR28" s="28"/>
      <c r="JT28" s="55"/>
      <c r="JU28" s="53"/>
      <c r="JY28" s="28"/>
      <c r="KA28" s="55"/>
      <c r="KB28" s="53"/>
      <c r="KF28" s="28"/>
      <c r="KH28" s="55"/>
      <c r="KI28" s="53"/>
      <c r="KM28" s="28"/>
      <c r="KO28" s="55"/>
      <c r="KP28" s="53"/>
      <c r="KT28" s="28"/>
      <c r="KV28" s="55"/>
      <c r="KW28" s="53"/>
      <c r="LA28" s="28"/>
      <c r="LC28" s="55"/>
      <c r="LD28" s="53"/>
      <c r="LH28" s="28"/>
      <c r="LJ28" s="55"/>
      <c r="LK28" s="53"/>
      <c r="LO28" s="28"/>
      <c r="LQ28" s="55"/>
      <c r="LR28" s="53"/>
      <c r="LV28" s="28"/>
      <c r="LX28" s="55"/>
      <c r="LY28" s="53"/>
      <c r="MC28" s="28"/>
      <c r="ME28" s="55"/>
      <c r="MF28" s="53"/>
      <c r="MJ28" s="28"/>
      <c r="ML28" s="55"/>
      <c r="MM28" s="53"/>
      <c r="MQ28" s="28"/>
      <c r="MS28" s="55"/>
      <c r="MT28" s="53"/>
      <c r="MX28" s="28"/>
      <c r="MZ28" s="55"/>
      <c r="NA28" s="53"/>
      <c r="NE28" s="28"/>
      <c r="NG28" s="55"/>
      <c r="NH28" s="53"/>
      <c r="NL28" s="28"/>
      <c r="NN28" s="55"/>
      <c r="NO28" s="53"/>
      <c r="NS28" s="28"/>
      <c r="NU28" s="55"/>
      <c r="NV28" s="53"/>
      <c r="NZ28" s="28"/>
      <c r="OB28" s="55"/>
      <c r="OC28" s="53"/>
      <c r="OG28" s="28"/>
      <c r="OI28" s="55"/>
      <c r="OJ28" s="53"/>
      <c r="ON28" s="28"/>
      <c r="OP28" s="55"/>
      <c r="OQ28" s="53"/>
      <c r="OU28" s="28"/>
      <c r="OW28" s="55"/>
      <c r="OX28" s="53"/>
      <c r="PB28" s="28"/>
      <c r="PD28" s="55"/>
      <c r="PE28" s="53"/>
      <c r="PI28" s="28"/>
      <c r="PK28" s="55"/>
      <c r="PL28" s="53"/>
      <c r="PP28" s="28"/>
      <c r="PR28" s="55"/>
      <c r="PS28" s="53"/>
      <c r="PW28" s="28"/>
      <c r="PY28" s="55"/>
      <c r="PZ28" s="53"/>
      <c r="QD28" s="28"/>
      <c r="QF28" s="55"/>
      <c r="QG28" s="53"/>
      <c r="QK28" s="28"/>
      <c r="QM28" s="55"/>
      <c r="QN28" s="53"/>
      <c r="QR28" s="28"/>
      <c r="QT28" s="55"/>
      <c r="QU28" s="53"/>
      <c r="QY28" s="28"/>
      <c r="RA28" s="55"/>
      <c r="RB28" s="53"/>
      <c r="RF28" s="28"/>
      <c r="RH28" s="55"/>
      <c r="RI28" s="53"/>
      <c r="RM28" s="28"/>
      <c r="RO28" s="55"/>
      <c r="RP28" s="53"/>
      <c r="RT28" s="28"/>
      <c r="RV28" s="55"/>
      <c r="RW28" s="53"/>
      <c r="SA28" s="28"/>
      <c r="SC28" s="55"/>
      <c r="SD28" s="53"/>
      <c r="SH28" s="28"/>
      <c r="SJ28" s="55"/>
      <c r="SK28" s="53"/>
      <c r="SO28" s="28"/>
      <c r="SQ28" s="55"/>
      <c r="SR28" s="53"/>
      <c r="SV28" s="28"/>
      <c r="SX28" s="55"/>
      <c r="SY28" s="53"/>
      <c r="TC28" s="28"/>
      <c r="TE28" s="55"/>
      <c r="TF28" s="53"/>
      <c r="TJ28" s="28"/>
      <c r="TL28" s="55"/>
      <c r="TM28" s="53"/>
      <c r="TQ28" s="28"/>
      <c r="TS28" s="55"/>
      <c r="TT28" s="53"/>
      <c r="TX28" s="28"/>
      <c r="TZ28" s="55"/>
      <c r="UA28" s="53"/>
      <c r="UE28" s="28"/>
      <c r="UG28" s="55"/>
      <c r="UH28" s="53"/>
      <c r="UL28" s="28"/>
      <c r="UN28" s="55"/>
      <c r="UO28" s="53"/>
      <c r="US28" s="28"/>
      <c r="UU28" s="55"/>
      <c r="UV28" s="53"/>
      <c r="UZ28" s="28"/>
      <c r="VB28" s="55"/>
      <c r="VC28" s="53"/>
      <c r="VG28" s="28"/>
      <c r="VI28" s="55"/>
      <c r="VJ28" s="53"/>
      <c r="VN28" s="28"/>
      <c r="VP28" s="55"/>
      <c r="VQ28" s="53"/>
      <c r="VU28" s="28"/>
      <c r="VW28" s="55"/>
      <c r="VX28" s="53"/>
      <c r="WB28" s="28"/>
      <c r="WD28" s="55"/>
      <c r="WE28" s="53"/>
      <c r="WI28" s="28"/>
      <c r="WK28" s="55"/>
      <c r="WL28" s="53"/>
      <c r="WP28" s="28"/>
      <c r="WR28" s="55"/>
      <c r="WS28" s="53"/>
      <c r="WW28" s="28"/>
      <c r="WY28" s="55"/>
      <c r="WZ28" s="53"/>
      <c r="XD28" s="28"/>
      <c r="XF28" s="55"/>
      <c r="XG28" s="53"/>
      <c r="XK28" s="28"/>
      <c r="XM28" s="55"/>
      <c r="XN28" s="53"/>
      <c r="XR28" s="28"/>
      <c r="XT28" s="55"/>
      <c r="XU28" s="53"/>
      <c r="XY28" s="28"/>
      <c r="YA28" s="55"/>
      <c r="YB28" s="53"/>
      <c r="YF28" s="28"/>
      <c r="YH28" s="55"/>
      <c r="YI28" s="53"/>
      <c r="YM28" s="28"/>
      <c r="YO28" s="55"/>
      <c r="YP28" s="53"/>
      <c r="YT28" s="28"/>
      <c r="YV28" s="55"/>
      <c r="YW28" s="53"/>
      <c r="ZA28" s="28"/>
      <c r="ZC28" s="55"/>
      <c r="ZD28" s="53"/>
      <c r="ZH28" s="28"/>
      <c r="ZJ28" s="55"/>
      <c r="ZK28" s="53"/>
      <c r="ZO28" s="28"/>
      <c r="ZQ28" s="55"/>
      <c r="ZR28" s="53"/>
      <c r="ZV28" s="28"/>
      <c r="ZX28" s="55"/>
      <c r="ZY28" s="53"/>
      <c r="AAC28" s="28"/>
      <c r="AAE28" s="55"/>
      <c r="AAF28" s="53"/>
      <c r="AAJ28" s="28"/>
      <c r="AAL28" s="55"/>
      <c r="AAM28" s="53"/>
      <c r="AAQ28" s="28"/>
      <c r="AAS28" s="55"/>
      <c r="AAT28" s="53"/>
      <c r="AAX28" s="28"/>
      <c r="AAZ28" s="55"/>
      <c r="ABA28" s="53"/>
      <c r="ABE28" s="28"/>
      <c r="ABG28" s="55"/>
      <c r="ABH28" s="53"/>
      <c r="ABL28" s="28"/>
      <c r="ABN28" s="55"/>
      <c r="ABO28" s="53"/>
      <c r="ABS28" s="28"/>
      <c r="ABU28" s="55"/>
      <c r="ABV28" s="53"/>
      <c r="ABZ28" s="28"/>
      <c r="ACB28" s="55"/>
      <c r="ACC28" s="53"/>
      <c r="ACG28" s="28"/>
      <c r="ACI28" s="55"/>
      <c r="ACJ28" s="53"/>
      <c r="ACN28" s="28"/>
      <c r="ACP28" s="55"/>
      <c r="ACQ28" s="53"/>
      <c r="ACU28" s="28"/>
      <c r="ACW28" s="55"/>
      <c r="ACX28" s="53"/>
      <c r="ADB28" s="28"/>
      <c r="ADD28" s="55"/>
      <c r="ADE28" s="53"/>
      <c r="ADI28" s="28"/>
      <c r="ADK28" s="55"/>
      <c r="ADL28" s="53"/>
      <c r="ADP28" s="28"/>
      <c r="ADR28" s="55"/>
      <c r="ADS28" s="53"/>
      <c r="ADW28" s="28"/>
      <c r="ADY28" s="55"/>
      <c r="ADZ28" s="53"/>
      <c r="AED28" s="28"/>
      <c r="AEF28" s="55"/>
      <c r="AEG28" s="53"/>
      <c r="AEK28" s="28"/>
      <c r="AEM28" s="55"/>
      <c r="AEN28" s="53"/>
      <c r="AER28" s="28"/>
      <c r="AET28" s="55"/>
      <c r="AEU28" s="53"/>
      <c r="AEY28" s="28"/>
      <c r="AFA28" s="55"/>
      <c r="AFB28" s="53"/>
      <c r="AFF28" s="28"/>
      <c r="AFH28" s="55"/>
      <c r="AFI28" s="53"/>
      <c r="AFM28" s="28"/>
      <c r="AFO28" s="55"/>
      <c r="AFP28" s="53"/>
      <c r="AFT28" s="28"/>
      <c r="AFV28" s="55"/>
      <c r="AFW28" s="53"/>
      <c r="AGA28" s="28"/>
      <c r="AGC28" s="55"/>
      <c r="AGD28" s="53"/>
      <c r="AGH28" s="28"/>
      <c r="AGJ28" s="55"/>
      <c r="AGK28" s="53"/>
      <c r="AGO28" s="28"/>
      <c r="AGQ28" s="55"/>
      <c r="AGR28" s="53"/>
      <c r="AGV28" s="28"/>
      <c r="AGX28" s="55"/>
      <c r="AGY28" s="53"/>
      <c r="AHC28" s="28"/>
      <c r="AHE28" s="55"/>
      <c r="AHF28" s="53"/>
      <c r="AHJ28" s="28"/>
      <c r="AHL28" s="55"/>
      <c r="AHM28" s="53"/>
      <c r="AHQ28" s="28"/>
      <c r="AHS28" s="55"/>
      <c r="AHT28" s="53"/>
      <c r="AHX28" s="28"/>
      <c r="AHZ28" s="55"/>
      <c r="AIA28" s="53"/>
      <c r="AIE28" s="28"/>
      <c r="AIG28" s="55"/>
      <c r="AIH28" s="53"/>
      <c r="AIL28" s="28"/>
      <c r="AIN28" s="55"/>
      <c r="AIO28" s="53"/>
      <c r="AIS28" s="28"/>
      <c r="AIU28" s="55"/>
      <c r="AIV28" s="53"/>
      <c r="AIZ28" s="28"/>
      <c r="AJB28" s="55"/>
      <c r="AJC28" s="53"/>
      <c r="AJG28" s="28"/>
      <c r="AJI28" s="55"/>
      <c r="AJJ28" s="53"/>
      <c r="AJN28" s="28"/>
      <c r="AJP28" s="55"/>
      <c r="AJQ28" s="53"/>
      <c r="AJU28" s="28"/>
      <c r="AJW28" s="55"/>
      <c r="AJX28" s="53"/>
      <c r="AKB28" s="28"/>
      <c r="AKD28" s="55"/>
      <c r="AKE28" s="53"/>
      <c r="AKI28" s="28"/>
      <c r="AKK28" s="55"/>
      <c r="AKL28" s="53"/>
      <c r="AKP28" s="28"/>
      <c r="AKR28" s="55"/>
      <c r="AKS28" s="53"/>
      <c r="AKW28" s="28"/>
      <c r="AKY28" s="55"/>
      <c r="AKZ28" s="53"/>
      <c r="ALD28" s="28"/>
      <c r="ALF28" s="55"/>
      <c r="ALG28" s="53"/>
      <c r="ALK28" s="28"/>
      <c r="ALM28" s="55"/>
      <c r="ALN28" s="53"/>
      <c r="ALR28" s="28"/>
      <c r="ALT28" s="55"/>
      <c r="ALU28" s="53"/>
      <c r="ALY28" s="28"/>
      <c r="AMA28" s="55"/>
      <c r="AMB28" s="53"/>
      <c r="AMF28" s="28"/>
      <c r="AMH28" s="55"/>
      <c r="AMI28" s="53"/>
      <c r="AMM28" s="28"/>
      <c r="AMO28" s="55"/>
      <c r="AMP28" s="53"/>
      <c r="AMT28" s="28"/>
      <c r="AMV28" s="55"/>
      <c r="AMW28" s="53"/>
      <c r="ANA28" s="28"/>
      <c r="ANC28" s="55"/>
      <c r="AND28" s="53"/>
      <c r="ANH28" s="28"/>
      <c r="ANJ28" s="55"/>
      <c r="ANK28" s="53"/>
      <c r="ANO28" s="28"/>
      <c r="ANQ28" s="55"/>
      <c r="ANR28" s="53"/>
      <c r="ANV28" s="28"/>
      <c r="ANX28" s="55"/>
      <c r="ANY28" s="53"/>
      <c r="AOC28" s="28"/>
      <c r="AOE28" s="55"/>
      <c r="AOF28" s="53"/>
      <c r="AOJ28" s="28"/>
      <c r="AOL28" s="55"/>
      <c r="AOM28" s="53"/>
      <c r="AOQ28" s="28"/>
      <c r="AOS28" s="55"/>
      <c r="AOT28" s="53"/>
      <c r="AOX28" s="28"/>
      <c r="AOZ28" s="55"/>
      <c r="APA28" s="53"/>
      <c r="APE28" s="28"/>
      <c r="APG28" s="55"/>
      <c r="APH28" s="53"/>
      <c r="APL28" s="28"/>
      <c r="APN28" s="55"/>
      <c r="APO28" s="53"/>
      <c r="APS28" s="28"/>
      <c r="APU28" s="55"/>
      <c r="APV28" s="53"/>
      <c r="APZ28" s="28"/>
      <c r="AQB28" s="55"/>
      <c r="AQC28" s="53"/>
      <c r="AQG28" s="28"/>
      <c r="AQI28" s="55"/>
      <c r="AQJ28" s="53"/>
      <c r="AQN28" s="28"/>
      <c r="AQP28" s="55"/>
      <c r="AQQ28" s="53"/>
      <c r="AQU28" s="28"/>
      <c r="AQW28" s="55"/>
      <c r="AQX28" s="53"/>
      <c r="ARB28" s="28"/>
      <c r="ARD28" s="55"/>
      <c r="ARE28" s="53"/>
      <c r="ARI28" s="28"/>
      <c r="ARK28" s="55"/>
      <c r="ARL28" s="53"/>
      <c r="ARP28" s="28"/>
      <c r="ARR28" s="55"/>
      <c r="ARS28" s="53"/>
      <c r="ARW28" s="28"/>
      <c r="ARY28" s="55"/>
      <c r="ARZ28" s="53"/>
      <c r="ASD28" s="28"/>
      <c r="ASF28" s="55"/>
      <c r="ASG28" s="53"/>
      <c r="ASK28" s="28"/>
      <c r="ASM28" s="55"/>
      <c r="ASN28" s="53"/>
      <c r="ASR28" s="28"/>
      <c r="AST28" s="55"/>
      <c r="ASU28" s="53"/>
      <c r="ASY28" s="28"/>
      <c r="ATA28" s="55"/>
      <c r="ATB28" s="53"/>
      <c r="ATF28" s="28"/>
      <c r="ATH28" s="55"/>
      <c r="ATI28" s="53"/>
      <c r="ATM28" s="28"/>
      <c r="ATO28" s="55"/>
      <c r="ATP28" s="53"/>
      <c r="ATT28" s="28"/>
      <c r="ATV28" s="55"/>
      <c r="ATW28" s="53"/>
      <c r="AUA28" s="28"/>
      <c r="AUC28" s="55"/>
      <c r="AUD28" s="53"/>
      <c r="AUH28" s="28"/>
      <c r="AUJ28" s="55"/>
      <c r="AUK28" s="53"/>
      <c r="AUO28" s="28"/>
      <c r="AUQ28" s="55"/>
      <c r="AUR28" s="53"/>
      <c r="AUV28" s="28"/>
      <c r="AUX28" s="55"/>
      <c r="AUY28" s="53"/>
      <c r="AVC28" s="28"/>
      <c r="AVE28" s="55"/>
      <c r="AVF28" s="53"/>
      <c r="AVJ28" s="28"/>
      <c r="AVL28" s="55"/>
      <c r="AVM28" s="53"/>
      <c r="AVQ28" s="28"/>
      <c r="AVS28" s="55"/>
      <c r="AVT28" s="53"/>
      <c r="AVX28" s="28"/>
      <c r="AVZ28" s="55"/>
      <c r="AWA28" s="53"/>
      <c r="AWE28" s="28"/>
      <c r="AWG28" s="55"/>
      <c r="AWH28" s="53"/>
      <c r="AWL28" s="28"/>
      <c r="AWN28" s="55"/>
      <c r="AWO28" s="53"/>
      <c r="AWS28" s="28"/>
      <c r="AWU28" s="55"/>
      <c r="AWV28" s="53"/>
      <c r="AWZ28" s="28"/>
      <c r="AXB28" s="55"/>
      <c r="AXC28" s="53"/>
      <c r="AXG28" s="28"/>
      <c r="AXI28" s="55"/>
      <c r="AXJ28" s="53"/>
      <c r="AXN28" s="28"/>
      <c r="AXP28" s="55"/>
      <c r="AXQ28" s="53"/>
      <c r="AXU28" s="28"/>
      <c r="AXW28" s="55"/>
      <c r="AXX28" s="53"/>
      <c r="AYB28" s="28"/>
      <c r="AYD28" s="55"/>
      <c r="AYE28" s="53"/>
      <c r="AYI28" s="28"/>
      <c r="AYK28" s="55"/>
      <c r="AYL28" s="53"/>
      <c r="AYP28" s="28"/>
      <c r="AYR28" s="55"/>
      <c r="AYS28" s="53"/>
      <c r="AYW28" s="28"/>
      <c r="AYY28" s="55"/>
      <c r="AYZ28" s="53"/>
      <c r="AZD28" s="28"/>
      <c r="AZF28" s="55"/>
      <c r="AZG28" s="53"/>
      <c r="AZK28" s="28"/>
      <c r="AZM28" s="55"/>
      <c r="AZN28" s="53"/>
      <c r="AZR28" s="28"/>
      <c r="AZT28" s="55"/>
      <c r="AZU28" s="53"/>
      <c r="AZY28" s="28"/>
      <c r="BAA28" s="55"/>
      <c r="BAB28" s="53"/>
      <c r="BAF28" s="28"/>
      <c r="BAH28" s="55"/>
      <c r="BAI28" s="53"/>
      <c r="BAM28" s="28"/>
      <c r="BAO28" s="55"/>
      <c r="BAP28" s="53"/>
      <c r="BAT28" s="28"/>
      <c r="BAV28" s="55"/>
      <c r="BAW28" s="53"/>
      <c r="BBA28" s="28"/>
      <c r="BBC28" s="55"/>
      <c r="BBD28" s="53"/>
      <c r="BBH28" s="28"/>
      <c r="BBJ28" s="55"/>
      <c r="BBK28" s="53"/>
      <c r="BBO28" s="28"/>
      <c r="BBQ28" s="55"/>
      <c r="BBR28" s="53"/>
      <c r="BBV28" s="28"/>
      <c r="BBX28" s="55"/>
      <c r="BBY28" s="53"/>
      <c r="BCC28" s="28"/>
      <c r="BCE28" s="55"/>
      <c r="BCF28" s="53"/>
      <c r="BCJ28" s="28"/>
      <c r="BCL28" s="55"/>
      <c r="BCM28" s="53"/>
      <c r="BCQ28" s="28"/>
      <c r="BCS28" s="55"/>
      <c r="BCT28" s="53"/>
      <c r="BCX28" s="28"/>
      <c r="BCZ28" s="55"/>
      <c r="BDA28" s="53"/>
      <c r="BDE28" s="28"/>
      <c r="BDG28" s="55"/>
      <c r="BDH28" s="53"/>
      <c r="BDL28" s="28"/>
      <c r="BDN28" s="55"/>
      <c r="BDO28" s="53"/>
      <c r="BDS28" s="28"/>
      <c r="BDU28" s="55"/>
      <c r="BDV28" s="53"/>
      <c r="BDZ28" s="28"/>
      <c r="BEB28" s="55"/>
      <c r="BEC28" s="53"/>
      <c r="BEG28" s="28"/>
      <c r="BEI28" s="55"/>
      <c r="BEJ28" s="53"/>
      <c r="BEN28" s="28"/>
      <c r="BEP28" s="55"/>
      <c r="BEQ28" s="53"/>
      <c r="BEU28" s="28"/>
      <c r="BEW28" s="55"/>
      <c r="BEX28" s="53"/>
      <c r="BFB28" s="28"/>
      <c r="BFD28" s="55"/>
      <c r="BFE28" s="53"/>
      <c r="BFI28" s="28"/>
      <c r="BFK28" s="55"/>
      <c r="BFL28" s="53"/>
      <c r="BFP28" s="28"/>
      <c r="BFR28" s="55"/>
      <c r="BFS28" s="53"/>
      <c r="BFW28" s="28"/>
      <c r="BFY28" s="55"/>
      <c r="BFZ28" s="53"/>
      <c r="BGD28" s="28"/>
      <c r="BGF28" s="55"/>
      <c r="BGG28" s="53"/>
      <c r="BGK28" s="28"/>
      <c r="BGM28" s="55"/>
      <c r="BGN28" s="53"/>
      <c r="BGR28" s="28"/>
      <c r="BGT28" s="55"/>
      <c r="BGU28" s="53"/>
      <c r="BGY28" s="28"/>
      <c r="BHA28" s="55"/>
      <c r="BHB28" s="53"/>
      <c r="BHF28" s="28"/>
      <c r="BHH28" s="55"/>
      <c r="BHI28" s="53"/>
      <c r="BHM28" s="28"/>
      <c r="BHO28" s="55"/>
      <c r="BHP28" s="53"/>
      <c r="BHT28" s="28"/>
      <c r="BHV28" s="55"/>
      <c r="BHW28" s="53"/>
      <c r="BIA28" s="28"/>
      <c r="BIC28" s="55"/>
      <c r="BID28" s="53"/>
      <c r="BIH28" s="28"/>
      <c r="BIJ28" s="55"/>
      <c r="BIK28" s="53"/>
      <c r="BIO28" s="28"/>
      <c r="BIQ28" s="55"/>
      <c r="BIR28" s="53"/>
      <c r="BIV28" s="28"/>
      <c r="BIX28" s="55"/>
      <c r="BIY28" s="53"/>
      <c r="BJC28" s="28"/>
      <c r="BJE28" s="55"/>
      <c r="BJF28" s="53"/>
      <c r="BJJ28" s="28"/>
      <c r="BJL28" s="55"/>
      <c r="BJM28" s="53"/>
      <c r="BJQ28" s="28"/>
      <c r="BJS28" s="55"/>
      <c r="BJT28" s="53"/>
      <c r="BJX28" s="28"/>
      <c r="BJZ28" s="55"/>
      <c r="BKA28" s="53"/>
      <c r="BKE28" s="28"/>
      <c r="BKG28" s="55"/>
      <c r="BKH28" s="53"/>
      <c r="BKL28" s="28"/>
      <c r="BKN28" s="55"/>
      <c r="BKO28" s="53"/>
      <c r="BKS28" s="28"/>
      <c r="BKU28" s="55"/>
      <c r="BKV28" s="53"/>
      <c r="BKZ28" s="28"/>
      <c r="BLB28" s="55"/>
      <c r="BLC28" s="53"/>
      <c r="BLG28" s="28"/>
      <c r="BLI28" s="55"/>
      <c r="BLJ28" s="53"/>
      <c r="BLN28" s="28"/>
      <c r="BLP28" s="55"/>
      <c r="BLQ28" s="53"/>
      <c r="BLU28" s="28"/>
      <c r="BLW28" s="55"/>
      <c r="BLX28" s="53"/>
      <c r="BMB28" s="28"/>
      <c r="BMD28" s="55"/>
      <c r="BME28" s="53"/>
      <c r="BMI28" s="28"/>
      <c r="BMK28" s="55"/>
      <c r="BML28" s="53"/>
      <c r="BMP28" s="28"/>
      <c r="BMR28" s="55"/>
      <c r="BMS28" s="53"/>
      <c r="BMW28" s="28"/>
      <c r="BMY28" s="55"/>
      <c r="BMZ28" s="53"/>
      <c r="BND28" s="28"/>
      <c r="BNF28" s="55"/>
      <c r="BNG28" s="53"/>
      <c r="BNK28" s="28"/>
      <c r="BNM28" s="55"/>
      <c r="BNN28" s="53"/>
      <c r="BNR28" s="28"/>
      <c r="BNT28" s="55"/>
      <c r="BNU28" s="53"/>
      <c r="BNY28" s="28"/>
      <c r="BOA28" s="55"/>
      <c r="BOB28" s="53"/>
      <c r="BOF28" s="28"/>
      <c r="BOH28" s="55"/>
      <c r="BOI28" s="53"/>
      <c r="BOM28" s="28"/>
      <c r="BOO28" s="55"/>
      <c r="BOP28" s="53"/>
      <c r="BOT28" s="28"/>
      <c r="BOV28" s="55"/>
      <c r="BOW28" s="53"/>
      <c r="BPA28" s="28"/>
      <c r="BPC28" s="55"/>
      <c r="BPD28" s="53"/>
      <c r="BPH28" s="28"/>
      <c r="BPJ28" s="55"/>
      <c r="BPK28" s="53"/>
      <c r="BPO28" s="28"/>
      <c r="BPQ28" s="55"/>
      <c r="BPR28" s="53"/>
      <c r="BPV28" s="28"/>
      <c r="BPX28" s="55"/>
      <c r="BPY28" s="53"/>
      <c r="BQC28" s="28"/>
      <c r="BQE28" s="55"/>
      <c r="BQF28" s="53"/>
      <c r="BQJ28" s="28"/>
      <c r="BQL28" s="55"/>
      <c r="BQM28" s="53"/>
      <c r="BQQ28" s="28"/>
      <c r="BQS28" s="55"/>
      <c r="BQT28" s="53"/>
      <c r="BQX28" s="28"/>
      <c r="BQZ28" s="55"/>
      <c r="BRA28" s="53"/>
      <c r="BRE28" s="28"/>
      <c r="BRG28" s="55"/>
      <c r="BRH28" s="53"/>
      <c r="BRL28" s="28"/>
      <c r="BRN28" s="55"/>
      <c r="BRO28" s="53"/>
      <c r="BRS28" s="28"/>
      <c r="BRU28" s="55"/>
      <c r="BRV28" s="53"/>
      <c r="BRZ28" s="28"/>
      <c r="BSB28" s="55"/>
      <c r="BSC28" s="53"/>
      <c r="BSG28" s="28"/>
      <c r="BSI28" s="55"/>
      <c r="BSJ28" s="53"/>
      <c r="BSN28" s="28"/>
      <c r="BSP28" s="55"/>
      <c r="BSQ28" s="53"/>
      <c r="BSU28" s="28"/>
      <c r="BSW28" s="55"/>
      <c r="BSX28" s="53"/>
      <c r="BTB28" s="28"/>
      <c r="BTD28" s="55"/>
      <c r="BTE28" s="53"/>
      <c r="BTI28" s="28"/>
      <c r="BTK28" s="55"/>
      <c r="BTL28" s="53"/>
      <c r="BTP28" s="28"/>
      <c r="BTR28" s="55"/>
      <c r="BTS28" s="53"/>
      <c r="BTW28" s="28"/>
      <c r="BTY28" s="55"/>
      <c r="BTZ28" s="53"/>
      <c r="BUD28" s="28"/>
      <c r="BUF28" s="55"/>
      <c r="BUG28" s="53"/>
      <c r="BUK28" s="28"/>
      <c r="BUM28" s="55"/>
      <c r="BUN28" s="53"/>
      <c r="BUR28" s="28"/>
      <c r="BUT28" s="55"/>
      <c r="BUU28" s="53"/>
      <c r="BUY28" s="28"/>
      <c r="BVA28" s="55"/>
      <c r="BVB28" s="53"/>
      <c r="BVF28" s="28"/>
      <c r="BVH28" s="55"/>
      <c r="BVI28" s="53"/>
      <c r="BVM28" s="28"/>
      <c r="BVO28" s="55"/>
      <c r="BVP28" s="53"/>
      <c r="BVT28" s="28"/>
      <c r="BVV28" s="55"/>
      <c r="BVW28" s="53"/>
      <c r="BWA28" s="28"/>
      <c r="BWC28" s="55"/>
      <c r="BWD28" s="53"/>
      <c r="BWH28" s="28"/>
      <c r="BWJ28" s="55"/>
      <c r="BWK28" s="53"/>
      <c r="BWO28" s="28"/>
      <c r="BWQ28" s="55"/>
      <c r="BWR28" s="53"/>
      <c r="BWV28" s="28"/>
      <c r="BWX28" s="55"/>
      <c r="BWY28" s="53"/>
      <c r="BXC28" s="28"/>
      <c r="BXE28" s="55"/>
      <c r="BXF28" s="53"/>
      <c r="BXJ28" s="28"/>
      <c r="BXL28" s="55"/>
      <c r="BXM28" s="53"/>
      <c r="BXQ28" s="28"/>
      <c r="BXS28" s="55"/>
      <c r="BXT28" s="53"/>
      <c r="BXX28" s="28"/>
      <c r="BXZ28" s="55"/>
      <c r="BYA28" s="53"/>
      <c r="BYE28" s="28"/>
      <c r="BYG28" s="55"/>
      <c r="BYH28" s="53"/>
      <c r="BYL28" s="28"/>
      <c r="BYN28" s="55"/>
      <c r="BYO28" s="53"/>
      <c r="BYS28" s="28"/>
      <c r="BYU28" s="55"/>
      <c r="BYV28" s="53"/>
      <c r="BYZ28" s="28"/>
      <c r="BZB28" s="55"/>
      <c r="BZC28" s="53"/>
      <c r="BZG28" s="28"/>
      <c r="BZI28" s="55"/>
      <c r="BZJ28" s="53"/>
      <c r="BZN28" s="28"/>
      <c r="BZP28" s="55"/>
      <c r="BZQ28" s="53"/>
      <c r="BZU28" s="28"/>
      <c r="BZW28" s="55"/>
      <c r="BZX28" s="53"/>
      <c r="CAB28" s="28"/>
      <c r="CAD28" s="55"/>
      <c r="CAE28" s="53"/>
      <c r="CAI28" s="28"/>
      <c r="CAK28" s="55"/>
      <c r="CAL28" s="53"/>
      <c r="CAP28" s="28"/>
      <c r="CAR28" s="55"/>
      <c r="CAS28" s="53"/>
      <c r="CAW28" s="28"/>
      <c r="CAY28" s="55"/>
      <c r="CAZ28" s="53"/>
      <c r="CBD28" s="28"/>
      <c r="CBF28" s="55"/>
      <c r="CBG28" s="53"/>
      <c r="CBK28" s="28"/>
      <c r="CBM28" s="55"/>
      <c r="CBN28" s="53"/>
      <c r="CBR28" s="28"/>
      <c r="CBT28" s="55"/>
      <c r="CBU28" s="53"/>
      <c r="CBY28" s="28"/>
      <c r="CCA28" s="55"/>
      <c r="CCB28" s="53"/>
      <c r="CCF28" s="28"/>
      <c r="CCH28" s="55"/>
      <c r="CCI28" s="53"/>
      <c r="CCM28" s="28"/>
      <c r="CCO28" s="55"/>
      <c r="CCP28" s="53"/>
      <c r="CCT28" s="28"/>
      <c r="CCV28" s="55"/>
      <c r="CCW28" s="53"/>
      <c r="CDA28" s="28"/>
      <c r="CDC28" s="55"/>
      <c r="CDD28" s="53"/>
      <c r="CDH28" s="28"/>
      <c r="CDJ28" s="55"/>
      <c r="CDK28" s="53"/>
      <c r="CDO28" s="28"/>
      <c r="CDQ28" s="55"/>
      <c r="CDR28" s="53"/>
      <c r="CDV28" s="28"/>
      <c r="CDX28" s="55"/>
      <c r="CDY28" s="53"/>
      <c r="CEC28" s="28"/>
      <c r="CEE28" s="55"/>
      <c r="CEF28" s="53"/>
      <c r="CEJ28" s="28"/>
      <c r="CEL28" s="55"/>
      <c r="CEM28" s="53"/>
      <c r="CEQ28" s="28"/>
      <c r="CES28" s="55"/>
      <c r="CET28" s="53"/>
      <c r="CEX28" s="28"/>
      <c r="CEZ28" s="55"/>
      <c r="CFA28" s="53"/>
      <c r="CFE28" s="28"/>
      <c r="CFG28" s="55"/>
      <c r="CFH28" s="53"/>
      <c r="CFL28" s="28"/>
      <c r="CFN28" s="55"/>
      <c r="CFO28" s="53"/>
      <c r="CFS28" s="28"/>
      <c r="CFU28" s="55"/>
      <c r="CFV28" s="53"/>
      <c r="CFZ28" s="28"/>
      <c r="CGB28" s="55"/>
      <c r="CGC28" s="53"/>
      <c r="CGG28" s="28"/>
      <c r="CGI28" s="55"/>
      <c r="CGJ28" s="53"/>
      <c r="CGN28" s="28"/>
      <c r="CGP28" s="55"/>
      <c r="CGQ28" s="53"/>
      <c r="CGU28" s="28"/>
      <c r="CGW28" s="55"/>
      <c r="CGX28" s="53"/>
      <c r="CHB28" s="28"/>
      <c r="CHD28" s="55"/>
      <c r="CHE28" s="53"/>
      <c r="CHI28" s="28"/>
      <c r="CHK28" s="55"/>
      <c r="CHL28" s="53"/>
      <c r="CHP28" s="28"/>
      <c r="CHR28" s="55"/>
      <c r="CHS28" s="53"/>
      <c r="CHW28" s="28"/>
      <c r="CHY28" s="55"/>
      <c r="CHZ28" s="53"/>
      <c r="CID28" s="28"/>
      <c r="CIF28" s="55"/>
      <c r="CIG28" s="53"/>
      <c r="CIK28" s="28"/>
      <c r="CIM28" s="55"/>
      <c r="CIN28" s="53"/>
      <c r="CIR28" s="28"/>
      <c r="CIT28" s="55"/>
      <c r="CIU28" s="53"/>
      <c r="CIY28" s="28"/>
      <c r="CJA28" s="55"/>
      <c r="CJB28" s="53"/>
      <c r="CJF28" s="28"/>
      <c r="CJH28" s="55"/>
      <c r="CJI28" s="53"/>
      <c r="CJM28" s="28"/>
      <c r="CJO28" s="55"/>
      <c r="CJP28" s="53"/>
      <c r="CJT28" s="28"/>
      <c r="CJV28" s="55"/>
      <c r="CJW28" s="53"/>
      <c r="CKA28" s="28"/>
      <c r="CKC28" s="55"/>
      <c r="CKD28" s="53"/>
      <c r="CKH28" s="28"/>
      <c r="CKJ28" s="55"/>
      <c r="CKK28" s="53"/>
      <c r="CKO28" s="28"/>
      <c r="CKQ28" s="55"/>
      <c r="CKR28" s="53"/>
      <c r="CKV28" s="28"/>
      <c r="CKX28" s="55"/>
      <c r="CKY28" s="53"/>
      <c r="CLC28" s="28"/>
      <c r="CLE28" s="55"/>
      <c r="CLF28" s="53"/>
      <c r="CLJ28" s="28"/>
      <c r="CLL28" s="55"/>
      <c r="CLM28" s="53"/>
      <c r="CLQ28" s="28"/>
      <c r="CLS28" s="55"/>
      <c r="CLT28" s="53"/>
      <c r="CLX28" s="28"/>
      <c r="CLZ28" s="55"/>
      <c r="CMA28" s="53"/>
      <c r="CME28" s="28"/>
      <c r="CMG28" s="55"/>
      <c r="CMH28" s="53"/>
      <c r="CML28" s="28"/>
      <c r="CMN28" s="55"/>
      <c r="CMO28" s="53"/>
      <c r="CMS28" s="28"/>
      <c r="CMU28" s="55"/>
      <c r="CMV28" s="53"/>
      <c r="CMZ28" s="28"/>
      <c r="CNB28" s="55"/>
      <c r="CNC28" s="53"/>
      <c r="CNG28" s="28"/>
      <c r="CNI28" s="55"/>
      <c r="CNJ28" s="53"/>
      <c r="CNN28" s="28"/>
      <c r="CNP28" s="55"/>
      <c r="CNQ28" s="53"/>
      <c r="CNU28" s="28"/>
      <c r="CNW28" s="55"/>
      <c r="CNX28" s="53"/>
      <c r="COB28" s="28"/>
      <c r="COD28" s="55"/>
      <c r="COE28" s="53"/>
      <c r="COI28" s="28"/>
      <c r="COK28" s="55"/>
      <c r="COL28" s="53"/>
      <c r="COP28" s="28"/>
      <c r="COR28" s="55"/>
      <c r="COS28" s="53"/>
      <c r="COW28" s="28"/>
      <c r="COY28" s="55"/>
      <c r="COZ28" s="53"/>
      <c r="CPD28" s="28"/>
      <c r="CPF28" s="55"/>
      <c r="CPG28" s="53"/>
      <c r="CPK28" s="28"/>
      <c r="CPM28" s="55"/>
      <c r="CPN28" s="53"/>
      <c r="CPR28" s="28"/>
      <c r="CPT28" s="55"/>
      <c r="CPU28" s="53"/>
      <c r="CPY28" s="28"/>
      <c r="CQA28" s="55"/>
      <c r="CQB28" s="53"/>
      <c r="CQF28" s="28"/>
      <c r="CQH28" s="55"/>
      <c r="CQI28" s="53"/>
      <c r="CQM28" s="28"/>
      <c r="CQO28" s="55"/>
      <c r="CQP28" s="53"/>
      <c r="CQT28" s="28"/>
      <c r="CQV28" s="55"/>
      <c r="CQW28" s="53"/>
      <c r="CRA28" s="28"/>
      <c r="CRC28" s="55"/>
      <c r="CRD28" s="53"/>
      <c r="CRH28" s="28"/>
      <c r="CRJ28" s="55"/>
      <c r="CRK28" s="53"/>
      <c r="CRO28" s="28"/>
      <c r="CRQ28" s="55"/>
      <c r="CRR28" s="53"/>
      <c r="CRV28" s="28"/>
      <c r="CRX28" s="55"/>
      <c r="CRY28" s="53"/>
      <c r="CSC28" s="28"/>
      <c r="CSE28" s="55"/>
      <c r="CSF28" s="53"/>
      <c r="CSJ28" s="28"/>
      <c r="CSL28" s="55"/>
      <c r="CSM28" s="53"/>
      <c r="CSQ28" s="28"/>
      <c r="CSS28" s="55"/>
      <c r="CST28" s="53"/>
      <c r="CSX28" s="28"/>
      <c r="CSZ28" s="55"/>
      <c r="CTA28" s="53"/>
      <c r="CTE28" s="28"/>
      <c r="CTG28" s="55"/>
      <c r="CTH28" s="53"/>
      <c r="CTL28" s="28"/>
      <c r="CTN28" s="55"/>
      <c r="CTO28" s="53"/>
      <c r="CTS28" s="28"/>
      <c r="CTU28" s="55"/>
      <c r="CTV28" s="53"/>
      <c r="CTZ28" s="28"/>
      <c r="CUB28" s="55"/>
      <c r="CUC28" s="53"/>
      <c r="CUG28" s="28"/>
      <c r="CUI28" s="55"/>
      <c r="CUJ28" s="53"/>
      <c r="CUN28" s="28"/>
      <c r="CUP28" s="55"/>
      <c r="CUQ28" s="53"/>
      <c r="CUU28" s="28"/>
      <c r="CUW28" s="55"/>
      <c r="CUX28" s="53"/>
      <c r="CVB28" s="28"/>
      <c r="CVD28" s="55"/>
      <c r="CVE28" s="53"/>
      <c r="CVI28" s="28"/>
      <c r="CVK28" s="55"/>
      <c r="CVL28" s="53"/>
      <c r="CVP28" s="28"/>
      <c r="CVR28" s="55"/>
      <c r="CVS28" s="53"/>
      <c r="CVW28" s="28"/>
      <c r="CVY28" s="55"/>
      <c r="CVZ28" s="53"/>
      <c r="CWD28" s="28"/>
      <c r="CWF28" s="55"/>
      <c r="CWG28" s="53"/>
      <c r="CWK28" s="28"/>
      <c r="CWM28" s="55"/>
      <c r="CWN28" s="53"/>
      <c r="CWR28" s="28"/>
      <c r="CWT28" s="55"/>
      <c r="CWU28" s="53"/>
      <c r="CWY28" s="28"/>
      <c r="CXA28" s="55"/>
      <c r="CXB28" s="53"/>
      <c r="CXF28" s="28"/>
      <c r="CXH28" s="55"/>
      <c r="CXI28" s="53"/>
      <c r="CXM28" s="28"/>
      <c r="CXO28" s="55"/>
      <c r="CXP28" s="53"/>
      <c r="CXT28" s="28"/>
      <c r="CXV28" s="55"/>
      <c r="CXW28" s="53"/>
      <c r="CYA28" s="28"/>
      <c r="CYC28" s="55"/>
      <c r="CYD28" s="53"/>
      <c r="CYH28" s="28"/>
      <c r="CYJ28" s="55"/>
      <c r="CYK28" s="53"/>
      <c r="CYO28" s="28"/>
      <c r="CYQ28" s="55"/>
      <c r="CYR28" s="53"/>
      <c r="CYV28" s="28"/>
      <c r="CYX28" s="55"/>
      <c r="CYY28" s="53"/>
      <c r="CZC28" s="28"/>
      <c r="CZE28" s="55"/>
      <c r="CZF28" s="53"/>
      <c r="CZJ28" s="28"/>
      <c r="CZL28" s="55"/>
      <c r="CZM28" s="53"/>
      <c r="CZQ28" s="28"/>
      <c r="CZS28" s="55"/>
      <c r="CZT28" s="53"/>
      <c r="CZX28" s="28"/>
      <c r="CZZ28" s="55"/>
      <c r="DAA28" s="53"/>
      <c r="DAE28" s="28"/>
      <c r="DAG28" s="55"/>
      <c r="DAH28" s="53"/>
      <c r="DAL28" s="28"/>
      <c r="DAN28" s="55"/>
      <c r="DAO28" s="53"/>
      <c r="DAS28" s="28"/>
      <c r="DAU28" s="55"/>
      <c r="DAV28" s="53"/>
      <c r="DAZ28" s="28"/>
      <c r="DBB28" s="55"/>
      <c r="DBC28" s="53"/>
      <c r="DBG28" s="28"/>
      <c r="DBI28" s="55"/>
      <c r="DBJ28" s="53"/>
      <c r="DBN28" s="28"/>
      <c r="DBP28" s="55"/>
      <c r="DBQ28" s="53"/>
      <c r="DBU28" s="28"/>
      <c r="DBW28" s="55"/>
      <c r="DBX28" s="53"/>
      <c r="DCB28" s="28"/>
      <c r="DCD28" s="55"/>
      <c r="DCE28" s="53"/>
      <c r="DCI28" s="28"/>
      <c r="DCK28" s="55"/>
      <c r="DCL28" s="53"/>
      <c r="DCP28" s="28"/>
      <c r="DCR28" s="55"/>
      <c r="DCS28" s="53"/>
      <c r="DCW28" s="28"/>
      <c r="DCY28" s="55"/>
      <c r="DCZ28" s="53"/>
      <c r="DDD28" s="28"/>
      <c r="DDF28" s="55"/>
      <c r="DDG28" s="53"/>
      <c r="DDK28" s="28"/>
      <c r="DDM28" s="55"/>
      <c r="DDN28" s="53"/>
      <c r="DDR28" s="28"/>
      <c r="DDT28" s="55"/>
      <c r="DDU28" s="53"/>
      <c r="DDY28" s="28"/>
      <c r="DEA28" s="55"/>
      <c r="DEB28" s="53"/>
      <c r="DEF28" s="28"/>
      <c r="DEH28" s="55"/>
      <c r="DEI28" s="53"/>
      <c r="DEM28" s="28"/>
      <c r="DEO28" s="55"/>
      <c r="DEP28" s="53"/>
      <c r="DET28" s="28"/>
      <c r="DEV28" s="55"/>
      <c r="DEW28" s="53"/>
      <c r="DFA28" s="28"/>
      <c r="DFC28" s="55"/>
      <c r="DFD28" s="53"/>
      <c r="DFH28" s="28"/>
      <c r="DFJ28" s="55"/>
      <c r="DFK28" s="53"/>
      <c r="DFO28" s="28"/>
      <c r="DFQ28" s="55"/>
      <c r="DFR28" s="53"/>
      <c r="DFV28" s="28"/>
      <c r="DFX28" s="55"/>
      <c r="DFY28" s="53"/>
      <c r="DGC28" s="28"/>
      <c r="DGE28" s="55"/>
      <c r="DGF28" s="53"/>
      <c r="DGJ28" s="28"/>
      <c r="DGL28" s="55"/>
      <c r="DGM28" s="53"/>
      <c r="DGQ28" s="28"/>
      <c r="DGS28" s="55"/>
      <c r="DGT28" s="53"/>
      <c r="DGX28" s="28"/>
      <c r="DGZ28" s="55"/>
      <c r="DHA28" s="53"/>
      <c r="DHE28" s="28"/>
      <c r="DHG28" s="55"/>
      <c r="DHH28" s="53"/>
      <c r="DHL28" s="28"/>
      <c r="DHN28" s="55"/>
      <c r="DHO28" s="53"/>
      <c r="DHS28" s="28"/>
      <c r="DHU28" s="55"/>
      <c r="DHV28" s="53"/>
      <c r="DHZ28" s="28"/>
      <c r="DIB28" s="55"/>
      <c r="DIC28" s="53"/>
      <c r="DIG28" s="28"/>
      <c r="DII28" s="55"/>
      <c r="DIJ28" s="53"/>
      <c r="DIN28" s="28"/>
      <c r="DIP28" s="55"/>
      <c r="DIQ28" s="53"/>
      <c r="DIU28" s="28"/>
      <c r="DIW28" s="55"/>
      <c r="DIX28" s="53"/>
      <c r="DJB28" s="28"/>
      <c r="DJD28" s="55"/>
      <c r="DJE28" s="53"/>
      <c r="DJI28" s="28"/>
      <c r="DJK28" s="55"/>
      <c r="DJL28" s="53"/>
      <c r="DJP28" s="28"/>
      <c r="DJR28" s="55"/>
      <c r="DJS28" s="53"/>
      <c r="DJW28" s="28"/>
      <c r="DJY28" s="55"/>
      <c r="DJZ28" s="53"/>
      <c r="DKD28" s="28"/>
      <c r="DKF28" s="55"/>
      <c r="DKG28" s="53"/>
      <c r="DKK28" s="28"/>
      <c r="DKM28" s="55"/>
      <c r="DKN28" s="53"/>
      <c r="DKR28" s="28"/>
      <c r="DKT28" s="55"/>
      <c r="DKU28" s="53"/>
      <c r="DKY28" s="28"/>
      <c r="DLA28" s="55"/>
      <c r="DLB28" s="53"/>
      <c r="DLF28" s="28"/>
      <c r="DLH28" s="55"/>
      <c r="DLI28" s="53"/>
      <c r="DLM28" s="28"/>
      <c r="DLO28" s="55"/>
      <c r="DLP28" s="53"/>
      <c r="DLT28" s="28"/>
      <c r="DLV28" s="55"/>
      <c r="DLW28" s="53"/>
      <c r="DMA28" s="28"/>
      <c r="DMC28" s="55"/>
      <c r="DMD28" s="53"/>
      <c r="DMH28" s="28"/>
      <c r="DMJ28" s="55"/>
      <c r="DMK28" s="53"/>
      <c r="DMO28" s="28"/>
      <c r="DMQ28" s="55"/>
      <c r="DMR28" s="53"/>
      <c r="DMV28" s="28"/>
      <c r="DMX28" s="55"/>
      <c r="DMY28" s="53"/>
      <c r="DNC28" s="28"/>
      <c r="DNE28" s="55"/>
      <c r="DNF28" s="53"/>
      <c r="DNJ28" s="28"/>
      <c r="DNL28" s="55"/>
      <c r="DNM28" s="53"/>
      <c r="DNQ28" s="28"/>
      <c r="DNS28" s="55"/>
      <c r="DNT28" s="53"/>
      <c r="DNX28" s="28"/>
      <c r="DNZ28" s="55"/>
      <c r="DOA28" s="53"/>
      <c r="DOE28" s="28"/>
      <c r="DOG28" s="55"/>
      <c r="DOH28" s="53"/>
      <c r="DOL28" s="28"/>
      <c r="DON28" s="55"/>
      <c r="DOO28" s="53"/>
      <c r="DOS28" s="28"/>
      <c r="DOU28" s="55"/>
      <c r="DOV28" s="53"/>
      <c r="DOZ28" s="28"/>
      <c r="DPB28" s="55"/>
      <c r="DPC28" s="53"/>
      <c r="DPG28" s="28"/>
      <c r="DPI28" s="55"/>
      <c r="DPJ28" s="53"/>
      <c r="DPN28" s="28"/>
      <c r="DPP28" s="55"/>
      <c r="DPQ28" s="53"/>
      <c r="DPU28" s="28"/>
      <c r="DPW28" s="55"/>
      <c r="DPX28" s="53"/>
      <c r="DQB28" s="28"/>
      <c r="DQD28" s="55"/>
      <c r="DQE28" s="53"/>
      <c r="DQI28" s="28"/>
      <c r="DQK28" s="55"/>
      <c r="DQL28" s="53"/>
      <c r="DQP28" s="28"/>
      <c r="DQR28" s="55"/>
      <c r="DQS28" s="53"/>
      <c r="DQW28" s="28"/>
      <c r="DQY28" s="55"/>
      <c r="DQZ28" s="53"/>
      <c r="DRD28" s="28"/>
      <c r="DRF28" s="55"/>
      <c r="DRG28" s="53"/>
      <c r="DRK28" s="28"/>
      <c r="DRM28" s="55"/>
      <c r="DRN28" s="53"/>
      <c r="DRR28" s="28"/>
      <c r="DRT28" s="55"/>
      <c r="DRU28" s="53"/>
      <c r="DRY28" s="28"/>
      <c r="DSA28" s="55"/>
      <c r="DSB28" s="53"/>
      <c r="DSF28" s="28"/>
      <c r="DSH28" s="55"/>
      <c r="DSI28" s="53"/>
      <c r="DSM28" s="28"/>
      <c r="DSO28" s="55"/>
      <c r="DSP28" s="53"/>
      <c r="DST28" s="28"/>
      <c r="DSV28" s="55"/>
      <c r="DSW28" s="53"/>
      <c r="DTA28" s="28"/>
      <c r="DTC28" s="55"/>
      <c r="DTD28" s="53"/>
      <c r="DTH28" s="28"/>
      <c r="DTJ28" s="55"/>
      <c r="DTK28" s="53"/>
      <c r="DTO28" s="28"/>
      <c r="DTQ28" s="55"/>
      <c r="DTR28" s="53"/>
      <c r="DTV28" s="28"/>
      <c r="DTX28" s="55"/>
      <c r="DTY28" s="53"/>
      <c r="DUC28" s="28"/>
      <c r="DUE28" s="55"/>
      <c r="DUF28" s="53"/>
      <c r="DUJ28" s="28"/>
      <c r="DUL28" s="55"/>
      <c r="DUM28" s="53"/>
      <c r="DUQ28" s="28"/>
      <c r="DUS28" s="55"/>
      <c r="DUT28" s="53"/>
      <c r="DUX28" s="28"/>
      <c r="DUZ28" s="55"/>
      <c r="DVA28" s="53"/>
      <c r="DVE28" s="28"/>
      <c r="DVG28" s="55"/>
      <c r="DVH28" s="53"/>
      <c r="DVL28" s="28"/>
      <c r="DVN28" s="55"/>
      <c r="DVO28" s="53"/>
      <c r="DVS28" s="28"/>
      <c r="DVU28" s="55"/>
      <c r="DVV28" s="53"/>
      <c r="DVZ28" s="28"/>
      <c r="DWB28" s="55"/>
      <c r="DWC28" s="53"/>
      <c r="DWG28" s="28"/>
      <c r="DWI28" s="55"/>
      <c r="DWJ28" s="53"/>
      <c r="DWN28" s="28"/>
      <c r="DWP28" s="55"/>
      <c r="DWQ28" s="53"/>
      <c r="DWU28" s="28"/>
      <c r="DWW28" s="55"/>
      <c r="DWX28" s="53"/>
      <c r="DXB28" s="28"/>
      <c r="DXD28" s="55"/>
      <c r="DXE28" s="53"/>
      <c r="DXI28" s="28"/>
      <c r="DXK28" s="55"/>
      <c r="DXL28" s="53"/>
      <c r="DXP28" s="28"/>
      <c r="DXR28" s="55"/>
      <c r="DXS28" s="53"/>
      <c r="DXW28" s="28"/>
      <c r="DXY28" s="55"/>
      <c r="DXZ28" s="53"/>
      <c r="DYD28" s="28"/>
      <c r="DYF28" s="55"/>
      <c r="DYG28" s="53"/>
      <c r="DYK28" s="28"/>
      <c r="DYM28" s="55"/>
      <c r="DYN28" s="53"/>
      <c r="DYR28" s="28"/>
      <c r="DYT28" s="55"/>
      <c r="DYU28" s="53"/>
      <c r="DYY28" s="28"/>
      <c r="DZA28" s="55"/>
      <c r="DZB28" s="53"/>
      <c r="DZF28" s="28"/>
      <c r="DZH28" s="55"/>
      <c r="DZI28" s="53"/>
      <c r="DZM28" s="28"/>
      <c r="DZO28" s="55"/>
      <c r="DZP28" s="53"/>
      <c r="DZT28" s="28"/>
      <c r="DZV28" s="55"/>
      <c r="DZW28" s="53"/>
      <c r="EAA28" s="28"/>
      <c r="EAC28" s="55"/>
      <c r="EAD28" s="53"/>
      <c r="EAH28" s="28"/>
      <c r="EAJ28" s="55"/>
      <c r="EAK28" s="53"/>
      <c r="EAO28" s="28"/>
      <c r="EAQ28" s="55"/>
      <c r="EAR28" s="53"/>
      <c r="EAV28" s="28"/>
      <c r="EAX28" s="55"/>
      <c r="EAY28" s="53"/>
      <c r="EBC28" s="28"/>
      <c r="EBE28" s="55"/>
      <c r="EBF28" s="53"/>
      <c r="EBJ28" s="28"/>
      <c r="EBL28" s="55"/>
      <c r="EBM28" s="53"/>
      <c r="EBQ28" s="28"/>
      <c r="EBS28" s="55"/>
      <c r="EBT28" s="53"/>
      <c r="EBX28" s="28"/>
      <c r="EBZ28" s="55"/>
      <c r="ECA28" s="53"/>
      <c r="ECE28" s="28"/>
      <c r="ECG28" s="55"/>
      <c r="ECH28" s="53"/>
      <c r="ECL28" s="28"/>
      <c r="ECN28" s="55"/>
      <c r="ECO28" s="53"/>
      <c r="ECS28" s="28"/>
      <c r="ECU28" s="55"/>
      <c r="ECV28" s="53"/>
      <c r="ECZ28" s="28"/>
      <c r="EDB28" s="55"/>
      <c r="EDC28" s="53"/>
      <c r="EDG28" s="28"/>
      <c r="EDI28" s="55"/>
      <c r="EDJ28" s="53"/>
      <c r="EDN28" s="28"/>
      <c r="EDP28" s="55"/>
      <c r="EDQ28" s="53"/>
      <c r="EDU28" s="28"/>
      <c r="EDW28" s="55"/>
      <c r="EDX28" s="53"/>
      <c r="EEB28" s="28"/>
      <c r="EED28" s="55"/>
      <c r="EEE28" s="53"/>
      <c r="EEI28" s="28"/>
      <c r="EEK28" s="55"/>
      <c r="EEL28" s="53"/>
      <c r="EEP28" s="28"/>
      <c r="EER28" s="55"/>
      <c r="EES28" s="53"/>
      <c r="EEW28" s="28"/>
      <c r="EEY28" s="55"/>
      <c r="EEZ28" s="53"/>
      <c r="EFD28" s="28"/>
      <c r="EFF28" s="55"/>
      <c r="EFG28" s="53"/>
      <c r="EFK28" s="28"/>
      <c r="EFM28" s="55"/>
      <c r="EFN28" s="53"/>
      <c r="EFR28" s="28"/>
      <c r="EFT28" s="55"/>
      <c r="EFU28" s="53"/>
      <c r="EFY28" s="28"/>
      <c r="EGA28" s="55"/>
      <c r="EGB28" s="53"/>
      <c r="EGF28" s="28"/>
      <c r="EGH28" s="55"/>
      <c r="EGI28" s="53"/>
      <c r="EGM28" s="28"/>
      <c r="EGO28" s="55"/>
      <c r="EGP28" s="53"/>
      <c r="EGT28" s="28"/>
      <c r="EGV28" s="55"/>
      <c r="EGW28" s="53"/>
      <c r="EHA28" s="28"/>
      <c r="EHC28" s="55"/>
      <c r="EHD28" s="53"/>
      <c r="EHH28" s="28"/>
      <c r="EHJ28" s="55"/>
      <c r="EHK28" s="53"/>
      <c r="EHO28" s="28"/>
      <c r="EHQ28" s="55"/>
      <c r="EHR28" s="53"/>
      <c r="EHV28" s="28"/>
      <c r="EHX28" s="55"/>
      <c r="EHY28" s="53"/>
      <c r="EIC28" s="28"/>
      <c r="EIE28" s="55"/>
      <c r="EIF28" s="53"/>
      <c r="EIJ28" s="28"/>
      <c r="EIL28" s="55"/>
      <c r="EIM28" s="53"/>
      <c r="EIQ28" s="28"/>
      <c r="EIS28" s="55"/>
      <c r="EIT28" s="53"/>
      <c r="EIX28" s="28"/>
      <c r="EIZ28" s="55"/>
      <c r="EJA28" s="53"/>
      <c r="EJE28" s="28"/>
      <c r="EJG28" s="55"/>
      <c r="EJH28" s="53"/>
      <c r="EJL28" s="28"/>
      <c r="EJN28" s="55"/>
      <c r="EJO28" s="53"/>
      <c r="EJS28" s="28"/>
      <c r="EJU28" s="55"/>
      <c r="EJV28" s="53"/>
      <c r="EJZ28" s="28"/>
      <c r="EKB28" s="55"/>
      <c r="EKC28" s="53"/>
      <c r="EKG28" s="28"/>
      <c r="EKI28" s="55"/>
      <c r="EKJ28" s="53"/>
      <c r="EKN28" s="28"/>
      <c r="EKP28" s="55"/>
      <c r="EKQ28" s="53"/>
      <c r="EKU28" s="28"/>
      <c r="EKW28" s="55"/>
      <c r="EKX28" s="53"/>
      <c r="ELB28" s="28"/>
      <c r="ELD28" s="55"/>
      <c r="ELE28" s="53"/>
      <c r="ELI28" s="28"/>
      <c r="ELK28" s="55"/>
      <c r="ELL28" s="53"/>
      <c r="ELP28" s="28"/>
      <c r="ELR28" s="55"/>
      <c r="ELS28" s="53"/>
      <c r="ELW28" s="28"/>
      <c r="ELY28" s="55"/>
      <c r="ELZ28" s="53"/>
      <c r="EMD28" s="28"/>
      <c r="EMF28" s="55"/>
      <c r="EMG28" s="53"/>
      <c r="EMK28" s="28"/>
      <c r="EMM28" s="55"/>
      <c r="EMN28" s="53"/>
      <c r="EMR28" s="28"/>
      <c r="EMT28" s="55"/>
      <c r="EMU28" s="53"/>
      <c r="EMY28" s="28"/>
      <c r="ENA28" s="55"/>
      <c r="ENB28" s="53"/>
      <c r="ENF28" s="28"/>
      <c r="ENH28" s="55"/>
      <c r="ENI28" s="53"/>
      <c r="ENM28" s="28"/>
      <c r="ENO28" s="55"/>
      <c r="ENP28" s="53"/>
      <c r="ENT28" s="28"/>
      <c r="ENV28" s="55"/>
      <c r="ENW28" s="53"/>
      <c r="EOA28" s="28"/>
      <c r="EOC28" s="55"/>
      <c r="EOD28" s="53"/>
      <c r="EOH28" s="28"/>
      <c r="EOJ28" s="55"/>
      <c r="EOK28" s="53"/>
      <c r="EOO28" s="28"/>
      <c r="EOQ28" s="55"/>
      <c r="EOR28" s="53"/>
      <c r="EOV28" s="28"/>
      <c r="EOX28" s="55"/>
      <c r="EOY28" s="53"/>
      <c r="EPC28" s="28"/>
      <c r="EPE28" s="55"/>
      <c r="EPF28" s="53"/>
      <c r="EPJ28" s="28"/>
      <c r="EPL28" s="55"/>
      <c r="EPM28" s="53"/>
      <c r="EPQ28" s="28"/>
      <c r="EPS28" s="55"/>
      <c r="EPT28" s="53"/>
      <c r="EPX28" s="28"/>
      <c r="EPZ28" s="55"/>
      <c r="EQA28" s="53"/>
      <c r="EQE28" s="28"/>
      <c r="EQG28" s="55"/>
      <c r="EQH28" s="53"/>
      <c r="EQL28" s="28"/>
      <c r="EQN28" s="55"/>
      <c r="EQO28" s="53"/>
      <c r="EQS28" s="28"/>
      <c r="EQU28" s="55"/>
      <c r="EQV28" s="53"/>
      <c r="EQZ28" s="28"/>
      <c r="ERB28" s="55"/>
      <c r="ERC28" s="53"/>
      <c r="ERG28" s="28"/>
      <c r="ERI28" s="55"/>
      <c r="ERJ28" s="53"/>
      <c r="ERN28" s="28"/>
      <c r="ERP28" s="55"/>
      <c r="ERQ28" s="53"/>
      <c r="ERU28" s="28"/>
      <c r="ERW28" s="55"/>
      <c r="ERX28" s="53"/>
      <c r="ESB28" s="28"/>
      <c r="ESD28" s="55"/>
      <c r="ESE28" s="53"/>
      <c r="ESI28" s="28"/>
      <c r="ESK28" s="55"/>
      <c r="ESL28" s="53"/>
      <c r="ESP28" s="28"/>
      <c r="ESR28" s="55"/>
      <c r="ESS28" s="53"/>
      <c r="ESW28" s="28"/>
      <c r="ESY28" s="55"/>
      <c r="ESZ28" s="53"/>
      <c r="ETD28" s="28"/>
      <c r="ETF28" s="55"/>
      <c r="ETG28" s="53"/>
      <c r="ETK28" s="28"/>
      <c r="ETM28" s="55"/>
      <c r="ETN28" s="53"/>
      <c r="ETR28" s="28"/>
      <c r="ETT28" s="55"/>
      <c r="ETU28" s="53"/>
      <c r="ETY28" s="28"/>
      <c r="EUA28" s="55"/>
      <c r="EUB28" s="53"/>
      <c r="EUF28" s="28"/>
      <c r="EUH28" s="55"/>
      <c r="EUI28" s="53"/>
      <c r="EUM28" s="28"/>
      <c r="EUO28" s="55"/>
      <c r="EUP28" s="53"/>
      <c r="EUT28" s="28"/>
      <c r="EUV28" s="55"/>
      <c r="EUW28" s="53"/>
      <c r="EVA28" s="28"/>
      <c r="EVC28" s="55"/>
      <c r="EVD28" s="53"/>
      <c r="EVH28" s="28"/>
      <c r="EVJ28" s="55"/>
      <c r="EVK28" s="53"/>
      <c r="EVO28" s="28"/>
      <c r="EVQ28" s="55"/>
      <c r="EVR28" s="53"/>
      <c r="EVV28" s="28"/>
      <c r="EVX28" s="55"/>
      <c r="EVY28" s="53"/>
      <c r="EWC28" s="28"/>
      <c r="EWE28" s="55"/>
      <c r="EWF28" s="53"/>
      <c r="EWJ28" s="28"/>
      <c r="EWL28" s="55"/>
      <c r="EWM28" s="53"/>
      <c r="EWQ28" s="28"/>
      <c r="EWS28" s="55"/>
      <c r="EWT28" s="53"/>
      <c r="EWX28" s="28"/>
      <c r="EWZ28" s="55"/>
      <c r="EXA28" s="53"/>
      <c r="EXE28" s="28"/>
      <c r="EXG28" s="55"/>
      <c r="EXH28" s="53"/>
      <c r="EXL28" s="28"/>
      <c r="EXN28" s="55"/>
      <c r="EXO28" s="53"/>
      <c r="EXS28" s="28"/>
      <c r="EXU28" s="55"/>
      <c r="EXV28" s="53"/>
      <c r="EXZ28" s="28"/>
      <c r="EYB28" s="55"/>
      <c r="EYC28" s="53"/>
      <c r="EYG28" s="28"/>
      <c r="EYI28" s="55"/>
      <c r="EYJ28" s="53"/>
      <c r="EYN28" s="28"/>
      <c r="EYP28" s="55"/>
      <c r="EYQ28" s="53"/>
      <c r="EYU28" s="28"/>
      <c r="EYW28" s="55"/>
      <c r="EYX28" s="53"/>
      <c r="EZB28" s="28"/>
      <c r="EZD28" s="55"/>
      <c r="EZE28" s="53"/>
      <c r="EZI28" s="28"/>
      <c r="EZK28" s="55"/>
      <c r="EZL28" s="53"/>
      <c r="EZP28" s="28"/>
      <c r="EZR28" s="55"/>
      <c r="EZS28" s="53"/>
      <c r="EZW28" s="28"/>
      <c r="EZY28" s="55"/>
      <c r="EZZ28" s="53"/>
      <c r="FAD28" s="28"/>
      <c r="FAF28" s="55"/>
      <c r="FAG28" s="53"/>
      <c r="FAK28" s="28"/>
      <c r="FAM28" s="55"/>
      <c r="FAN28" s="53"/>
      <c r="FAR28" s="28"/>
      <c r="FAT28" s="55"/>
      <c r="FAU28" s="53"/>
      <c r="FAY28" s="28"/>
      <c r="FBA28" s="55"/>
      <c r="FBB28" s="53"/>
      <c r="FBF28" s="28"/>
      <c r="FBH28" s="55"/>
      <c r="FBI28" s="53"/>
      <c r="FBM28" s="28"/>
      <c r="FBO28" s="55"/>
      <c r="FBP28" s="53"/>
      <c r="FBT28" s="28"/>
      <c r="FBV28" s="55"/>
      <c r="FBW28" s="53"/>
      <c r="FCA28" s="28"/>
      <c r="FCC28" s="55"/>
      <c r="FCD28" s="53"/>
      <c r="FCH28" s="28"/>
      <c r="FCJ28" s="55"/>
      <c r="FCK28" s="53"/>
      <c r="FCO28" s="28"/>
      <c r="FCQ28" s="55"/>
      <c r="FCR28" s="53"/>
      <c r="FCV28" s="28"/>
      <c r="FCX28" s="55"/>
      <c r="FCY28" s="53"/>
      <c r="FDC28" s="28"/>
      <c r="FDE28" s="55"/>
      <c r="FDF28" s="53"/>
      <c r="FDJ28" s="28"/>
      <c r="FDL28" s="55"/>
      <c r="FDM28" s="53"/>
      <c r="FDQ28" s="28"/>
      <c r="FDS28" s="55"/>
      <c r="FDT28" s="53"/>
      <c r="FDX28" s="28"/>
      <c r="FDZ28" s="55"/>
      <c r="FEA28" s="53"/>
      <c r="FEE28" s="28"/>
      <c r="FEG28" s="55"/>
      <c r="FEH28" s="53"/>
      <c r="FEL28" s="28"/>
      <c r="FEN28" s="55"/>
      <c r="FEO28" s="53"/>
      <c r="FES28" s="28"/>
      <c r="FEU28" s="55"/>
      <c r="FEV28" s="53"/>
      <c r="FEZ28" s="28"/>
      <c r="FFB28" s="55"/>
      <c r="FFC28" s="53"/>
      <c r="FFG28" s="28"/>
      <c r="FFI28" s="55"/>
      <c r="FFJ28" s="53"/>
      <c r="FFN28" s="28"/>
      <c r="FFP28" s="55"/>
      <c r="FFQ28" s="53"/>
      <c r="FFU28" s="28"/>
      <c r="FFW28" s="55"/>
      <c r="FFX28" s="53"/>
      <c r="FGB28" s="28"/>
      <c r="FGD28" s="55"/>
      <c r="FGE28" s="53"/>
      <c r="FGI28" s="28"/>
      <c r="FGK28" s="55"/>
      <c r="FGL28" s="53"/>
      <c r="FGP28" s="28"/>
      <c r="FGR28" s="55"/>
      <c r="FGS28" s="53"/>
      <c r="FGW28" s="28"/>
      <c r="FGY28" s="55"/>
      <c r="FGZ28" s="53"/>
      <c r="FHD28" s="28"/>
      <c r="FHF28" s="55"/>
      <c r="FHG28" s="53"/>
      <c r="FHK28" s="28"/>
      <c r="FHM28" s="55"/>
      <c r="FHN28" s="53"/>
      <c r="FHR28" s="28"/>
      <c r="FHT28" s="55"/>
      <c r="FHU28" s="53"/>
      <c r="FHY28" s="28"/>
      <c r="FIA28" s="55"/>
      <c r="FIB28" s="53"/>
      <c r="FIF28" s="28"/>
      <c r="FIH28" s="55"/>
      <c r="FII28" s="53"/>
      <c r="FIM28" s="28"/>
      <c r="FIO28" s="55"/>
      <c r="FIP28" s="53"/>
      <c r="FIT28" s="28"/>
      <c r="FIV28" s="55"/>
      <c r="FIW28" s="53"/>
      <c r="FJA28" s="28"/>
      <c r="FJC28" s="55"/>
      <c r="FJD28" s="53"/>
      <c r="FJH28" s="28"/>
      <c r="FJJ28" s="55"/>
      <c r="FJK28" s="53"/>
      <c r="FJO28" s="28"/>
      <c r="FJQ28" s="55"/>
      <c r="FJR28" s="53"/>
      <c r="FJV28" s="28"/>
      <c r="FJX28" s="55"/>
      <c r="FJY28" s="53"/>
      <c r="FKC28" s="28"/>
      <c r="FKE28" s="55"/>
      <c r="FKF28" s="53"/>
      <c r="FKJ28" s="28"/>
      <c r="FKL28" s="55"/>
      <c r="FKM28" s="53"/>
      <c r="FKQ28" s="28"/>
      <c r="FKS28" s="55"/>
      <c r="FKT28" s="53"/>
      <c r="FKX28" s="28"/>
      <c r="FKZ28" s="55"/>
      <c r="FLA28" s="53"/>
      <c r="FLE28" s="28"/>
      <c r="FLG28" s="55"/>
      <c r="FLH28" s="53"/>
      <c r="FLL28" s="28"/>
      <c r="FLN28" s="55"/>
      <c r="FLO28" s="53"/>
      <c r="FLS28" s="28"/>
      <c r="FLU28" s="55"/>
      <c r="FLV28" s="53"/>
      <c r="FLZ28" s="28"/>
      <c r="FMB28" s="55"/>
      <c r="FMC28" s="53"/>
      <c r="FMG28" s="28"/>
      <c r="FMI28" s="55"/>
      <c r="FMJ28" s="53"/>
      <c r="FMN28" s="28"/>
      <c r="FMP28" s="55"/>
      <c r="FMQ28" s="53"/>
      <c r="FMU28" s="28"/>
      <c r="FMW28" s="55"/>
      <c r="FMX28" s="53"/>
      <c r="FNB28" s="28"/>
      <c r="FND28" s="55"/>
      <c r="FNE28" s="53"/>
      <c r="FNI28" s="28"/>
      <c r="FNK28" s="55"/>
      <c r="FNL28" s="53"/>
      <c r="FNP28" s="28"/>
      <c r="FNR28" s="55"/>
      <c r="FNS28" s="53"/>
      <c r="FNW28" s="28"/>
      <c r="FNY28" s="55"/>
      <c r="FNZ28" s="53"/>
      <c r="FOD28" s="28"/>
      <c r="FOF28" s="55"/>
      <c r="FOG28" s="53"/>
      <c r="FOK28" s="28"/>
      <c r="FOM28" s="55"/>
      <c r="FON28" s="53"/>
      <c r="FOR28" s="28"/>
      <c r="FOT28" s="55"/>
      <c r="FOU28" s="53"/>
      <c r="FOY28" s="28"/>
      <c r="FPA28" s="55"/>
      <c r="FPB28" s="53"/>
      <c r="FPF28" s="28"/>
      <c r="FPH28" s="55"/>
      <c r="FPI28" s="53"/>
      <c r="FPM28" s="28"/>
      <c r="FPO28" s="55"/>
      <c r="FPP28" s="53"/>
      <c r="FPT28" s="28"/>
      <c r="FPV28" s="55"/>
      <c r="FPW28" s="53"/>
      <c r="FQA28" s="28"/>
      <c r="FQC28" s="55"/>
      <c r="FQD28" s="53"/>
      <c r="FQH28" s="28"/>
      <c r="FQJ28" s="55"/>
      <c r="FQK28" s="53"/>
      <c r="FQO28" s="28"/>
      <c r="FQQ28" s="55"/>
      <c r="FQR28" s="53"/>
      <c r="FQV28" s="28"/>
      <c r="FQX28" s="55"/>
      <c r="FQY28" s="53"/>
      <c r="FRC28" s="28"/>
      <c r="FRE28" s="55"/>
      <c r="FRF28" s="53"/>
      <c r="FRJ28" s="28"/>
      <c r="FRL28" s="55"/>
      <c r="FRM28" s="53"/>
      <c r="FRQ28" s="28"/>
      <c r="FRS28" s="55"/>
      <c r="FRT28" s="53"/>
      <c r="FRX28" s="28"/>
      <c r="FRZ28" s="55"/>
      <c r="FSA28" s="53"/>
      <c r="FSE28" s="28"/>
      <c r="FSG28" s="55"/>
      <c r="FSH28" s="53"/>
      <c r="FSL28" s="28"/>
      <c r="FSN28" s="55"/>
      <c r="FSO28" s="53"/>
      <c r="FSS28" s="28"/>
      <c r="FSU28" s="55"/>
      <c r="FSV28" s="53"/>
      <c r="FSZ28" s="28"/>
      <c r="FTB28" s="55"/>
      <c r="FTC28" s="53"/>
      <c r="FTG28" s="28"/>
      <c r="FTI28" s="55"/>
      <c r="FTJ28" s="53"/>
      <c r="FTN28" s="28"/>
      <c r="FTP28" s="55"/>
      <c r="FTQ28" s="53"/>
      <c r="FTU28" s="28"/>
      <c r="FTW28" s="55"/>
      <c r="FTX28" s="53"/>
      <c r="FUB28" s="28"/>
      <c r="FUD28" s="55"/>
      <c r="FUE28" s="53"/>
      <c r="FUI28" s="28"/>
      <c r="FUK28" s="55"/>
      <c r="FUL28" s="53"/>
      <c r="FUP28" s="28"/>
      <c r="FUR28" s="55"/>
      <c r="FUS28" s="53"/>
      <c r="FUW28" s="28"/>
      <c r="FUY28" s="55"/>
      <c r="FUZ28" s="53"/>
      <c r="FVD28" s="28"/>
      <c r="FVF28" s="55"/>
      <c r="FVG28" s="53"/>
      <c r="FVK28" s="28"/>
      <c r="FVM28" s="55"/>
      <c r="FVN28" s="53"/>
      <c r="FVR28" s="28"/>
      <c r="FVT28" s="55"/>
      <c r="FVU28" s="53"/>
      <c r="FVY28" s="28"/>
      <c r="FWA28" s="55"/>
      <c r="FWB28" s="53"/>
      <c r="FWF28" s="28"/>
      <c r="FWH28" s="55"/>
      <c r="FWI28" s="53"/>
      <c r="FWM28" s="28"/>
      <c r="FWO28" s="55"/>
      <c r="FWP28" s="53"/>
      <c r="FWT28" s="28"/>
      <c r="FWV28" s="55"/>
      <c r="FWW28" s="53"/>
      <c r="FXA28" s="28"/>
      <c r="FXC28" s="55"/>
      <c r="FXD28" s="53"/>
      <c r="FXH28" s="28"/>
      <c r="FXJ28" s="55"/>
      <c r="FXK28" s="53"/>
      <c r="FXO28" s="28"/>
      <c r="FXQ28" s="55"/>
      <c r="FXR28" s="53"/>
      <c r="FXV28" s="28"/>
      <c r="FXX28" s="55"/>
      <c r="FXY28" s="53"/>
      <c r="FYC28" s="28"/>
      <c r="FYE28" s="55"/>
      <c r="FYF28" s="53"/>
      <c r="FYJ28" s="28"/>
      <c r="FYL28" s="55"/>
      <c r="FYM28" s="53"/>
      <c r="FYQ28" s="28"/>
      <c r="FYS28" s="55"/>
      <c r="FYT28" s="53"/>
      <c r="FYX28" s="28"/>
      <c r="FYZ28" s="55"/>
      <c r="FZA28" s="53"/>
      <c r="FZE28" s="28"/>
      <c r="FZG28" s="55"/>
      <c r="FZH28" s="53"/>
      <c r="FZL28" s="28"/>
      <c r="FZN28" s="55"/>
      <c r="FZO28" s="53"/>
      <c r="FZS28" s="28"/>
      <c r="FZU28" s="55"/>
      <c r="FZV28" s="53"/>
      <c r="FZZ28" s="28"/>
      <c r="GAB28" s="55"/>
      <c r="GAC28" s="53"/>
      <c r="GAG28" s="28"/>
      <c r="GAI28" s="55"/>
      <c r="GAJ28" s="53"/>
      <c r="GAN28" s="28"/>
      <c r="GAP28" s="55"/>
      <c r="GAQ28" s="53"/>
      <c r="GAU28" s="28"/>
      <c r="GAW28" s="55"/>
      <c r="GAX28" s="53"/>
      <c r="GBB28" s="28"/>
      <c r="GBD28" s="55"/>
      <c r="GBE28" s="53"/>
      <c r="GBI28" s="28"/>
      <c r="GBK28" s="55"/>
      <c r="GBL28" s="53"/>
      <c r="GBP28" s="28"/>
      <c r="GBR28" s="55"/>
      <c r="GBS28" s="53"/>
      <c r="GBW28" s="28"/>
      <c r="GBY28" s="55"/>
      <c r="GBZ28" s="53"/>
      <c r="GCD28" s="28"/>
      <c r="GCF28" s="55"/>
      <c r="GCG28" s="53"/>
      <c r="GCK28" s="28"/>
      <c r="GCM28" s="55"/>
      <c r="GCN28" s="53"/>
      <c r="GCR28" s="28"/>
      <c r="GCT28" s="55"/>
      <c r="GCU28" s="53"/>
      <c r="GCY28" s="28"/>
      <c r="GDA28" s="55"/>
      <c r="GDB28" s="53"/>
      <c r="GDF28" s="28"/>
      <c r="GDH28" s="55"/>
      <c r="GDI28" s="53"/>
      <c r="GDM28" s="28"/>
      <c r="GDO28" s="55"/>
      <c r="GDP28" s="53"/>
      <c r="GDT28" s="28"/>
      <c r="GDV28" s="55"/>
      <c r="GDW28" s="53"/>
      <c r="GEA28" s="28"/>
      <c r="GEC28" s="55"/>
      <c r="GED28" s="53"/>
      <c r="GEH28" s="28"/>
      <c r="GEJ28" s="55"/>
      <c r="GEK28" s="53"/>
      <c r="GEO28" s="28"/>
      <c r="GEQ28" s="55"/>
      <c r="GER28" s="53"/>
      <c r="GEV28" s="28"/>
      <c r="GEX28" s="55"/>
      <c r="GEY28" s="53"/>
      <c r="GFC28" s="28"/>
      <c r="GFE28" s="55"/>
      <c r="GFF28" s="53"/>
      <c r="GFJ28" s="28"/>
      <c r="GFL28" s="55"/>
      <c r="GFM28" s="53"/>
      <c r="GFQ28" s="28"/>
      <c r="GFS28" s="55"/>
      <c r="GFT28" s="53"/>
      <c r="GFX28" s="28"/>
      <c r="GFZ28" s="55"/>
      <c r="GGA28" s="53"/>
      <c r="GGE28" s="28"/>
      <c r="GGG28" s="55"/>
      <c r="GGH28" s="53"/>
      <c r="GGL28" s="28"/>
      <c r="GGN28" s="55"/>
      <c r="GGO28" s="53"/>
      <c r="GGS28" s="28"/>
      <c r="GGU28" s="55"/>
      <c r="GGV28" s="53"/>
      <c r="GGZ28" s="28"/>
      <c r="GHB28" s="55"/>
      <c r="GHC28" s="53"/>
      <c r="GHG28" s="28"/>
      <c r="GHI28" s="55"/>
      <c r="GHJ28" s="53"/>
      <c r="GHN28" s="28"/>
      <c r="GHP28" s="55"/>
      <c r="GHQ28" s="53"/>
      <c r="GHU28" s="28"/>
      <c r="GHW28" s="55"/>
      <c r="GHX28" s="53"/>
      <c r="GIB28" s="28"/>
      <c r="GID28" s="55"/>
      <c r="GIE28" s="53"/>
      <c r="GII28" s="28"/>
      <c r="GIK28" s="55"/>
      <c r="GIL28" s="53"/>
      <c r="GIP28" s="28"/>
      <c r="GIR28" s="55"/>
      <c r="GIS28" s="53"/>
      <c r="GIW28" s="28"/>
      <c r="GIY28" s="55"/>
      <c r="GIZ28" s="53"/>
      <c r="GJD28" s="28"/>
      <c r="GJF28" s="55"/>
      <c r="GJG28" s="53"/>
      <c r="GJK28" s="28"/>
      <c r="GJM28" s="55"/>
      <c r="GJN28" s="53"/>
      <c r="GJR28" s="28"/>
      <c r="GJT28" s="55"/>
      <c r="GJU28" s="53"/>
      <c r="GJY28" s="28"/>
      <c r="GKA28" s="55"/>
      <c r="GKB28" s="53"/>
      <c r="GKF28" s="28"/>
      <c r="GKH28" s="55"/>
      <c r="GKI28" s="53"/>
      <c r="GKM28" s="28"/>
      <c r="GKO28" s="55"/>
      <c r="GKP28" s="53"/>
      <c r="GKT28" s="28"/>
      <c r="GKV28" s="55"/>
      <c r="GKW28" s="53"/>
      <c r="GLA28" s="28"/>
      <c r="GLC28" s="55"/>
      <c r="GLD28" s="53"/>
      <c r="GLH28" s="28"/>
      <c r="GLJ28" s="55"/>
      <c r="GLK28" s="53"/>
      <c r="GLO28" s="28"/>
      <c r="GLQ28" s="55"/>
      <c r="GLR28" s="53"/>
      <c r="GLV28" s="28"/>
      <c r="GLX28" s="55"/>
      <c r="GLY28" s="53"/>
      <c r="GMC28" s="28"/>
      <c r="GME28" s="55"/>
      <c r="GMF28" s="53"/>
      <c r="GMJ28" s="28"/>
      <c r="GML28" s="55"/>
      <c r="GMM28" s="53"/>
      <c r="GMQ28" s="28"/>
      <c r="GMS28" s="55"/>
      <c r="GMT28" s="53"/>
      <c r="GMX28" s="28"/>
      <c r="GMZ28" s="55"/>
      <c r="GNA28" s="53"/>
      <c r="GNE28" s="28"/>
      <c r="GNG28" s="55"/>
      <c r="GNH28" s="53"/>
      <c r="GNL28" s="28"/>
      <c r="GNN28" s="55"/>
      <c r="GNO28" s="53"/>
      <c r="GNS28" s="28"/>
      <c r="GNU28" s="55"/>
      <c r="GNV28" s="53"/>
      <c r="GNZ28" s="28"/>
      <c r="GOB28" s="55"/>
      <c r="GOC28" s="53"/>
      <c r="GOG28" s="28"/>
      <c r="GOI28" s="55"/>
      <c r="GOJ28" s="53"/>
      <c r="GON28" s="28"/>
      <c r="GOP28" s="55"/>
      <c r="GOQ28" s="53"/>
      <c r="GOU28" s="28"/>
      <c r="GOW28" s="55"/>
      <c r="GOX28" s="53"/>
      <c r="GPB28" s="28"/>
      <c r="GPD28" s="55"/>
      <c r="GPE28" s="53"/>
      <c r="GPI28" s="28"/>
      <c r="GPK28" s="55"/>
      <c r="GPL28" s="53"/>
      <c r="GPP28" s="28"/>
      <c r="GPR28" s="55"/>
      <c r="GPS28" s="53"/>
      <c r="GPW28" s="28"/>
      <c r="GPY28" s="55"/>
      <c r="GPZ28" s="53"/>
      <c r="GQD28" s="28"/>
      <c r="GQF28" s="55"/>
      <c r="GQG28" s="53"/>
      <c r="GQK28" s="28"/>
      <c r="GQM28" s="55"/>
      <c r="GQN28" s="53"/>
      <c r="GQR28" s="28"/>
      <c r="GQT28" s="55"/>
      <c r="GQU28" s="53"/>
      <c r="GQY28" s="28"/>
      <c r="GRA28" s="55"/>
      <c r="GRB28" s="53"/>
      <c r="GRF28" s="28"/>
      <c r="GRH28" s="55"/>
      <c r="GRI28" s="53"/>
      <c r="GRM28" s="28"/>
      <c r="GRO28" s="55"/>
      <c r="GRP28" s="53"/>
      <c r="GRT28" s="28"/>
      <c r="GRV28" s="55"/>
      <c r="GRW28" s="53"/>
      <c r="GSA28" s="28"/>
      <c r="GSC28" s="55"/>
      <c r="GSD28" s="53"/>
      <c r="GSH28" s="28"/>
      <c r="GSJ28" s="55"/>
      <c r="GSK28" s="53"/>
      <c r="GSO28" s="28"/>
      <c r="GSQ28" s="55"/>
      <c r="GSR28" s="53"/>
      <c r="GSV28" s="28"/>
      <c r="GSX28" s="55"/>
      <c r="GSY28" s="53"/>
      <c r="GTC28" s="28"/>
      <c r="GTE28" s="55"/>
      <c r="GTF28" s="53"/>
      <c r="GTJ28" s="28"/>
      <c r="GTL28" s="55"/>
      <c r="GTM28" s="53"/>
      <c r="GTQ28" s="28"/>
      <c r="GTS28" s="55"/>
      <c r="GTT28" s="53"/>
      <c r="GTX28" s="28"/>
      <c r="GTZ28" s="55"/>
      <c r="GUA28" s="53"/>
      <c r="GUE28" s="28"/>
      <c r="GUG28" s="55"/>
      <c r="GUH28" s="53"/>
      <c r="GUL28" s="28"/>
      <c r="GUN28" s="55"/>
      <c r="GUO28" s="53"/>
      <c r="GUS28" s="28"/>
      <c r="GUU28" s="55"/>
      <c r="GUV28" s="53"/>
      <c r="GUZ28" s="28"/>
      <c r="GVB28" s="55"/>
      <c r="GVC28" s="53"/>
      <c r="GVG28" s="28"/>
      <c r="GVI28" s="55"/>
      <c r="GVJ28" s="53"/>
      <c r="GVN28" s="28"/>
      <c r="GVP28" s="55"/>
      <c r="GVQ28" s="53"/>
      <c r="GVU28" s="28"/>
      <c r="GVW28" s="55"/>
      <c r="GVX28" s="53"/>
      <c r="GWB28" s="28"/>
      <c r="GWD28" s="55"/>
      <c r="GWE28" s="53"/>
      <c r="GWI28" s="28"/>
      <c r="GWK28" s="55"/>
      <c r="GWL28" s="53"/>
      <c r="GWP28" s="28"/>
      <c r="GWR28" s="55"/>
      <c r="GWS28" s="53"/>
      <c r="GWW28" s="28"/>
      <c r="GWY28" s="55"/>
      <c r="GWZ28" s="53"/>
      <c r="GXD28" s="28"/>
      <c r="GXF28" s="55"/>
      <c r="GXG28" s="53"/>
      <c r="GXK28" s="28"/>
      <c r="GXM28" s="55"/>
      <c r="GXN28" s="53"/>
      <c r="GXR28" s="28"/>
      <c r="GXT28" s="55"/>
      <c r="GXU28" s="53"/>
      <c r="GXY28" s="28"/>
      <c r="GYA28" s="55"/>
      <c r="GYB28" s="53"/>
      <c r="GYF28" s="28"/>
      <c r="GYH28" s="55"/>
      <c r="GYI28" s="53"/>
      <c r="GYM28" s="28"/>
      <c r="GYO28" s="55"/>
      <c r="GYP28" s="53"/>
      <c r="GYT28" s="28"/>
      <c r="GYV28" s="55"/>
      <c r="GYW28" s="53"/>
      <c r="GZA28" s="28"/>
      <c r="GZC28" s="55"/>
      <c r="GZD28" s="53"/>
      <c r="GZH28" s="28"/>
      <c r="GZJ28" s="55"/>
      <c r="GZK28" s="53"/>
      <c r="GZO28" s="28"/>
      <c r="GZQ28" s="55"/>
      <c r="GZR28" s="53"/>
      <c r="GZV28" s="28"/>
      <c r="GZX28" s="55"/>
      <c r="GZY28" s="53"/>
      <c r="HAC28" s="28"/>
      <c r="HAE28" s="55"/>
      <c r="HAF28" s="53"/>
      <c r="HAJ28" s="28"/>
      <c r="HAL28" s="55"/>
      <c r="HAM28" s="53"/>
      <c r="HAQ28" s="28"/>
      <c r="HAS28" s="55"/>
      <c r="HAT28" s="53"/>
      <c r="HAX28" s="28"/>
      <c r="HAZ28" s="55"/>
      <c r="HBA28" s="53"/>
      <c r="HBE28" s="28"/>
      <c r="HBG28" s="55"/>
      <c r="HBH28" s="53"/>
      <c r="HBL28" s="28"/>
      <c r="HBN28" s="55"/>
      <c r="HBO28" s="53"/>
      <c r="HBS28" s="28"/>
      <c r="HBU28" s="55"/>
      <c r="HBV28" s="53"/>
      <c r="HBZ28" s="28"/>
      <c r="HCB28" s="55"/>
      <c r="HCC28" s="53"/>
      <c r="HCG28" s="28"/>
      <c r="HCI28" s="55"/>
      <c r="HCJ28" s="53"/>
      <c r="HCN28" s="28"/>
      <c r="HCP28" s="55"/>
      <c r="HCQ28" s="53"/>
      <c r="HCU28" s="28"/>
      <c r="HCW28" s="55"/>
      <c r="HCX28" s="53"/>
      <c r="HDB28" s="28"/>
      <c r="HDD28" s="55"/>
      <c r="HDE28" s="53"/>
      <c r="HDI28" s="28"/>
      <c r="HDK28" s="55"/>
      <c r="HDL28" s="53"/>
      <c r="HDP28" s="28"/>
      <c r="HDR28" s="55"/>
      <c r="HDS28" s="53"/>
      <c r="HDW28" s="28"/>
      <c r="HDY28" s="55"/>
      <c r="HDZ28" s="53"/>
      <c r="HED28" s="28"/>
      <c r="HEF28" s="55"/>
      <c r="HEG28" s="53"/>
      <c r="HEK28" s="28"/>
      <c r="HEM28" s="55"/>
      <c r="HEN28" s="53"/>
      <c r="HER28" s="28"/>
      <c r="HET28" s="55"/>
      <c r="HEU28" s="53"/>
      <c r="HEY28" s="28"/>
      <c r="HFA28" s="55"/>
      <c r="HFB28" s="53"/>
      <c r="HFF28" s="28"/>
      <c r="HFH28" s="55"/>
      <c r="HFI28" s="53"/>
      <c r="HFM28" s="28"/>
      <c r="HFO28" s="55"/>
      <c r="HFP28" s="53"/>
      <c r="HFT28" s="28"/>
      <c r="HFV28" s="55"/>
      <c r="HFW28" s="53"/>
      <c r="HGA28" s="28"/>
      <c r="HGC28" s="55"/>
      <c r="HGD28" s="53"/>
      <c r="HGH28" s="28"/>
      <c r="HGJ28" s="55"/>
      <c r="HGK28" s="53"/>
      <c r="HGO28" s="28"/>
      <c r="HGQ28" s="55"/>
      <c r="HGR28" s="53"/>
      <c r="HGV28" s="28"/>
      <c r="HGX28" s="55"/>
      <c r="HGY28" s="53"/>
      <c r="HHC28" s="28"/>
      <c r="HHE28" s="55"/>
      <c r="HHF28" s="53"/>
      <c r="HHJ28" s="28"/>
      <c r="HHL28" s="55"/>
      <c r="HHM28" s="53"/>
      <c r="HHQ28" s="28"/>
      <c r="HHS28" s="55"/>
      <c r="HHT28" s="53"/>
      <c r="HHX28" s="28"/>
      <c r="HHZ28" s="55"/>
      <c r="HIA28" s="53"/>
      <c r="HIE28" s="28"/>
      <c r="HIG28" s="55"/>
      <c r="HIH28" s="53"/>
      <c r="HIL28" s="28"/>
      <c r="HIN28" s="55"/>
      <c r="HIO28" s="53"/>
      <c r="HIS28" s="28"/>
      <c r="HIU28" s="55"/>
      <c r="HIV28" s="53"/>
      <c r="HIZ28" s="28"/>
      <c r="HJB28" s="55"/>
      <c r="HJC28" s="53"/>
      <c r="HJG28" s="28"/>
      <c r="HJI28" s="55"/>
      <c r="HJJ28" s="53"/>
      <c r="HJN28" s="28"/>
      <c r="HJP28" s="55"/>
      <c r="HJQ28" s="53"/>
      <c r="HJU28" s="28"/>
      <c r="HJW28" s="55"/>
      <c r="HJX28" s="53"/>
      <c r="HKB28" s="28"/>
      <c r="HKD28" s="55"/>
      <c r="HKE28" s="53"/>
      <c r="HKI28" s="28"/>
      <c r="HKK28" s="55"/>
      <c r="HKL28" s="53"/>
      <c r="HKP28" s="28"/>
      <c r="HKR28" s="55"/>
      <c r="HKS28" s="53"/>
      <c r="HKW28" s="28"/>
      <c r="HKY28" s="55"/>
      <c r="HKZ28" s="53"/>
      <c r="HLD28" s="28"/>
      <c r="HLF28" s="55"/>
      <c r="HLG28" s="53"/>
      <c r="HLK28" s="28"/>
      <c r="HLM28" s="55"/>
      <c r="HLN28" s="53"/>
      <c r="HLR28" s="28"/>
      <c r="HLT28" s="55"/>
      <c r="HLU28" s="53"/>
      <c r="HLY28" s="28"/>
      <c r="HMA28" s="55"/>
      <c r="HMB28" s="53"/>
      <c r="HMF28" s="28"/>
      <c r="HMH28" s="55"/>
      <c r="HMI28" s="53"/>
      <c r="HMM28" s="28"/>
      <c r="HMO28" s="55"/>
      <c r="HMP28" s="53"/>
      <c r="HMT28" s="28"/>
      <c r="HMV28" s="55"/>
      <c r="HMW28" s="53"/>
      <c r="HNA28" s="28"/>
      <c r="HNC28" s="55"/>
      <c r="HND28" s="53"/>
      <c r="HNH28" s="28"/>
      <c r="HNJ28" s="55"/>
      <c r="HNK28" s="53"/>
      <c r="HNO28" s="28"/>
      <c r="HNQ28" s="55"/>
      <c r="HNR28" s="53"/>
      <c r="HNV28" s="28"/>
      <c r="HNX28" s="55"/>
      <c r="HNY28" s="53"/>
      <c r="HOC28" s="28"/>
      <c r="HOE28" s="55"/>
      <c r="HOF28" s="53"/>
      <c r="HOJ28" s="28"/>
      <c r="HOL28" s="55"/>
      <c r="HOM28" s="53"/>
      <c r="HOQ28" s="28"/>
      <c r="HOS28" s="55"/>
      <c r="HOT28" s="53"/>
      <c r="HOX28" s="28"/>
      <c r="HOZ28" s="55"/>
      <c r="HPA28" s="53"/>
      <c r="HPE28" s="28"/>
      <c r="HPG28" s="55"/>
      <c r="HPH28" s="53"/>
      <c r="HPL28" s="28"/>
      <c r="HPN28" s="55"/>
      <c r="HPO28" s="53"/>
      <c r="HPS28" s="28"/>
      <c r="HPU28" s="55"/>
      <c r="HPV28" s="53"/>
      <c r="HPZ28" s="28"/>
      <c r="HQB28" s="55"/>
      <c r="HQC28" s="53"/>
      <c r="HQG28" s="28"/>
      <c r="HQI28" s="55"/>
      <c r="HQJ28" s="53"/>
      <c r="HQN28" s="28"/>
      <c r="HQP28" s="55"/>
      <c r="HQQ28" s="53"/>
      <c r="HQU28" s="28"/>
      <c r="HQW28" s="55"/>
      <c r="HQX28" s="53"/>
      <c r="HRB28" s="28"/>
      <c r="HRD28" s="55"/>
      <c r="HRE28" s="53"/>
      <c r="HRI28" s="28"/>
      <c r="HRK28" s="55"/>
      <c r="HRL28" s="53"/>
      <c r="HRP28" s="28"/>
      <c r="HRR28" s="55"/>
      <c r="HRS28" s="53"/>
      <c r="HRW28" s="28"/>
      <c r="HRY28" s="55"/>
      <c r="HRZ28" s="53"/>
      <c r="HSD28" s="28"/>
      <c r="HSF28" s="55"/>
      <c r="HSG28" s="53"/>
      <c r="HSK28" s="28"/>
      <c r="HSM28" s="55"/>
      <c r="HSN28" s="53"/>
      <c r="HSR28" s="28"/>
      <c r="HST28" s="55"/>
      <c r="HSU28" s="53"/>
      <c r="HSY28" s="28"/>
      <c r="HTA28" s="55"/>
      <c r="HTB28" s="53"/>
      <c r="HTF28" s="28"/>
      <c r="HTH28" s="55"/>
      <c r="HTI28" s="53"/>
      <c r="HTM28" s="28"/>
      <c r="HTO28" s="55"/>
      <c r="HTP28" s="53"/>
      <c r="HTT28" s="28"/>
      <c r="HTV28" s="55"/>
      <c r="HTW28" s="53"/>
      <c r="HUA28" s="28"/>
      <c r="HUC28" s="55"/>
      <c r="HUD28" s="53"/>
      <c r="HUH28" s="28"/>
      <c r="HUJ28" s="55"/>
      <c r="HUK28" s="53"/>
      <c r="HUO28" s="28"/>
      <c r="HUQ28" s="55"/>
      <c r="HUR28" s="53"/>
      <c r="HUV28" s="28"/>
      <c r="HUX28" s="55"/>
      <c r="HUY28" s="53"/>
      <c r="HVC28" s="28"/>
      <c r="HVE28" s="55"/>
      <c r="HVF28" s="53"/>
      <c r="HVJ28" s="28"/>
      <c r="HVL28" s="55"/>
      <c r="HVM28" s="53"/>
      <c r="HVQ28" s="28"/>
      <c r="HVS28" s="55"/>
      <c r="HVT28" s="53"/>
      <c r="HVX28" s="28"/>
      <c r="HVZ28" s="55"/>
      <c r="HWA28" s="53"/>
      <c r="HWE28" s="28"/>
      <c r="HWG28" s="55"/>
      <c r="HWH28" s="53"/>
      <c r="HWL28" s="28"/>
      <c r="HWN28" s="55"/>
      <c r="HWO28" s="53"/>
      <c r="HWS28" s="28"/>
      <c r="HWU28" s="55"/>
      <c r="HWV28" s="53"/>
      <c r="HWZ28" s="28"/>
      <c r="HXB28" s="55"/>
      <c r="HXC28" s="53"/>
      <c r="HXG28" s="28"/>
      <c r="HXI28" s="55"/>
      <c r="HXJ28" s="53"/>
      <c r="HXN28" s="28"/>
      <c r="HXP28" s="55"/>
      <c r="HXQ28" s="53"/>
      <c r="HXU28" s="28"/>
      <c r="HXW28" s="55"/>
      <c r="HXX28" s="53"/>
      <c r="HYB28" s="28"/>
      <c r="HYD28" s="55"/>
      <c r="HYE28" s="53"/>
      <c r="HYI28" s="28"/>
      <c r="HYK28" s="55"/>
      <c r="HYL28" s="53"/>
      <c r="HYP28" s="28"/>
      <c r="HYR28" s="55"/>
      <c r="HYS28" s="53"/>
      <c r="HYW28" s="28"/>
      <c r="HYY28" s="55"/>
      <c r="HYZ28" s="53"/>
      <c r="HZD28" s="28"/>
      <c r="HZF28" s="55"/>
      <c r="HZG28" s="53"/>
      <c r="HZK28" s="28"/>
      <c r="HZM28" s="55"/>
      <c r="HZN28" s="53"/>
      <c r="HZR28" s="28"/>
      <c r="HZT28" s="55"/>
      <c r="HZU28" s="53"/>
      <c r="HZY28" s="28"/>
      <c r="IAA28" s="55"/>
      <c r="IAB28" s="53"/>
      <c r="IAF28" s="28"/>
      <c r="IAH28" s="55"/>
      <c r="IAI28" s="53"/>
      <c r="IAM28" s="28"/>
      <c r="IAO28" s="55"/>
      <c r="IAP28" s="53"/>
      <c r="IAT28" s="28"/>
      <c r="IAV28" s="55"/>
      <c r="IAW28" s="53"/>
      <c r="IBA28" s="28"/>
      <c r="IBC28" s="55"/>
      <c r="IBD28" s="53"/>
      <c r="IBH28" s="28"/>
      <c r="IBJ28" s="55"/>
      <c r="IBK28" s="53"/>
      <c r="IBO28" s="28"/>
      <c r="IBQ28" s="55"/>
      <c r="IBR28" s="53"/>
      <c r="IBV28" s="28"/>
      <c r="IBX28" s="55"/>
      <c r="IBY28" s="53"/>
      <c r="ICC28" s="28"/>
      <c r="ICE28" s="55"/>
      <c r="ICF28" s="53"/>
      <c r="ICJ28" s="28"/>
      <c r="ICL28" s="55"/>
      <c r="ICM28" s="53"/>
      <c r="ICQ28" s="28"/>
      <c r="ICS28" s="55"/>
      <c r="ICT28" s="53"/>
      <c r="ICX28" s="28"/>
      <c r="ICZ28" s="55"/>
      <c r="IDA28" s="53"/>
      <c r="IDE28" s="28"/>
      <c r="IDG28" s="55"/>
      <c r="IDH28" s="53"/>
      <c r="IDL28" s="28"/>
      <c r="IDN28" s="55"/>
      <c r="IDO28" s="53"/>
      <c r="IDS28" s="28"/>
      <c r="IDU28" s="55"/>
      <c r="IDV28" s="53"/>
      <c r="IDZ28" s="28"/>
      <c r="IEB28" s="55"/>
      <c r="IEC28" s="53"/>
      <c r="IEG28" s="28"/>
      <c r="IEI28" s="55"/>
      <c r="IEJ28" s="53"/>
      <c r="IEN28" s="28"/>
      <c r="IEP28" s="55"/>
      <c r="IEQ28" s="53"/>
      <c r="IEU28" s="28"/>
      <c r="IEW28" s="55"/>
      <c r="IEX28" s="53"/>
      <c r="IFB28" s="28"/>
      <c r="IFD28" s="55"/>
      <c r="IFE28" s="53"/>
      <c r="IFI28" s="28"/>
      <c r="IFK28" s="55"/>
      <c r="IFL28" s="53"/>
      <c r="IFP28" s="28"/>
      <c r="IFR28" s="55"/>
      <c r="IFS28" s="53"/>
      <c r="IFW28" s="28"/>
      <c r="IFY28" s="55"/>
      <c r="IFZ28" s="53"/>
      <c r="IGD28" s="28"/>
      <c r="IGF28" s="55"/>
      <c r="IGG28" s="53"/>
      <c r="IGK28" s="28"/>
      <c r="IGM28" s="55"/>
      <c r="IGN28" s="53"/>
      <c r="IGR28" s="28"/>
      <c r="IGT28" s="55"/>
      <c r="IGU28" s="53"/>
      <c r="IGY28" s="28"/>
      <c r="IHA28" s="55"/>
      <c r="IHB28" s="53"/>
      <c r="IHF28" s="28"/>
      <c r="IHH28" s="55"/>
      <c r="IHI28" s="53"/>
      <c r="IHM28" s="28"/>
      <c r="IHO28" s="55"/>
      <c r="IHP28" s="53"/>
      <c r="IHT28" s="28"/>
      <c r="IHV28" s="55"/>
      <c r="IHW28" s="53"/>
      <c r="IIA28" s="28"/>
      <c r="IIC28" s="55"/>
      <c r="IID28" s="53"/>
      <c r="IIH28" s="28"/>
      <c r="IIJ28" s="55"/>
      <c r="IIK28" s="53"/>
      <c r="IIO28" s="28"/>
      <c r="IIQ28" s="55"/>
      <c r="IIR28" s="53"/>
      <c r="IIV28" s="28"/>
      <c r="IIX28" s="55"/>
      <c r="IIY28" s="53"/>
      <c r="IJC28" s="28"/>
      <c r="IJE28" s="55"/>
      <c r="IJF28" s="53"/>
      <c r="IJJ28" s="28"/>
      <c r="IJL28" s="55"/>
      <c r="IJM28" s="53"/>
      <c r="IJQ28" s="28"/>
      <c r="IJS28" s="55"/>
      <c r="IJT28" s="53"/>
      <c r="IJX28" s="28"/>
      <c r="IJZ28" s="55"/>
      <c r="IKA28" s="53"/>
      <c r="IKE28" s="28"/>
      <c r="IKG28" s="55"/>
      <c r="IKH28" s="53"/>
      <c r="IKL28" s="28"/>
      <c r="IKN28" s="55"/>
      <c r="IKO28" s="53"/>
      <c r="IKS28" s="28"/>
      <c r="IKU28" s="55"/>
      <c r="IKV28" s="53"/>
      <c r="IKZ28" s="28"/>
      <c r="ILB28" s="55"/>
      <c r="ILC28" s="53"/>
      <c r="ILG28" s="28"/>
      <c r="ILI28" s="55"/>
      <c r="ILJ28" s="53"/>
      <c r="ILN28" s="28"/>
      <c r="ILP28" s="55"/>
      <c r="ILQ28" s="53"/>
      <c r="ILU28" s="28"/>
      <c r="ILW28" s="55"/>
      <c r="ILX28" s="53"/>
      <c r="IMB28" s="28"/>
      <c r="IMD28" s="55"/>
      <c r="IME28" s="53"/>
      <c r="IMI28" s="28"/>
      <c r="IMK28" s="55"/>
      <c r="IML28" s="53"/>
      <c r="IMP28" s="28"/>
      <c r="IMR28" s="55"/>
      <c r="IMS28" s="53"/>
      <c r="IMW28" s="28"/>
      <c r="IMY28" s="55"/>
      <c r="IMZ28" s="53"/>
      <c r="IND28" s="28"/>
      <c r="INF28" s="55"/>
      <c r="ING28" s="53"/>
      <c r="INK28" s="28"/>
      <c r="INM28" s="55"/>
      <c r="INN28" s="53"/>
      <c r="INR28" s="28"/>
      <c r="INT28" s="55"/>
      <c r="INU28" s="53"/>
      <c r="INY28" s="28"/>
      <c r="IOA28" s="55"/>
      <c r="IOB28" s="53"/>
      <c r="IOF28" s="28"/>
      <c r="IOH28" s="55"/>
      <c r="IOI28" s="53"/>
      <c r="IOM28" s="28"/>
      <c r="IOO28" s="55"/>
      <c r="IOP28" s="53"/>
      <c r="IOT28" s="28"/>
      <c r="IOV28" s="55"/>
      <c r="IOW28" s="53"/>
      <c r="IPA28" s="28"/>
      <c r="IPC28" s="55"/>
      <c r="IPD28" s="53"/>
      <c r="IPH28" s="28"/>
      <c r="IPJ28" s="55"/>
      <c r="IPK28" s="53"/>
      <c r="IPO28" s="28"/>
      <c r="IPQ28" s="55"/>
      <c r="IPR28" s="53"/>
      <c r="IPV28" s="28"/>
      <c r="IPX28" s="55"/>
      <c r="IPY28" s="53"/>
      <c r="IQC28" s="28"/>
      <c r="IQE28" s="55"/>
      <c r="IQF28" s="53"/>
      <c r="IQJ28" s="28"/>
      <c r="IQL28" s="55"/>
      <c r="IQM28" s="53"/>
      <c r="IQQ28" s="28"/>
      <c r="IQS28" s="55"/>
      <c r="IQT28" s="53"/>
      <c r="IQX28" s="28"/>
      <c r="IQZ28" s="55"/>
      <c r="IRA28" s="53"/>
      <c r="IRE28" s="28"/>
      <c r="IRG28" s="55"/>
      <c r="IRH28" s="53"/>
      <c r="IRL28" s="28"/>
      <c r="IRN28" s="55"/>
      <c r="IRO28" s="53"/>
      <c r="IRS28" s="28"/>
      <c r="IRU28" s="55"/>
      <c r="IRV28" s="53"/>
      <c r="IRZ28" s="28"/>
      <c r="ISB28" s="55"/>
      <c r="ISC28" s="53"/>
      <c r="ISG28" s="28"/>
      <c r="ISI28" s="55"/>
      <c r="ISJ28" s="53"/>
      <c r="ISN28" s="28"/>
      <c r="ISP28" s="55"/>
      <c r="ISQ28" s="53"/>
      <c r="ISU28" s="28"/>
      <c r="ISW28" s="55"/>
      <c r="ISX28" s="53"/>
      <c r="ITB28" s="28"/>
      <c r="ITD28" s="55"/>
      <c r="ITE28" s="53"/>
      <c r="ITI28" s="28"/>
      <c r="ITK28" s="55"/>
      <c r="ITL28" s="53"/>
      <c r="ITP28" s="28"/>
      <c r="ITR28" s="55"/>
      <c r="ITS28" s="53"/>
      <c r="ITW28" s="28"/>
      <c r="ITY28" s="55"/>
      <c r="ITZ28" s="53"/>
      <c r="IUD28" s="28"/>
      <c r="IUF28" s="55"/>
      <c r="IUG28" s="53"/>
      <c r="IUK28" s="28"/>
      <c r="IUM28" s="55"/>
      <c r="IUN28" s="53"/>
      <c r="IUR28" s="28"/>
      <c r="IUT28" s="55"/>
      <c r="IUU28" s="53"/>
      <c r="IUY28" s="28"/>
      <c r="IVA28" s="55"/>
      <c r="IVB28" s="53"/>
      <c r="IVF28" s="28"/>
      <c r="IVH28" s="55"/>
      <c r="IVI28" s="53"/>
      <c r="IVM28" s="28"/>
      <c r="IVO28" s="55"/>
      <c r="IVP28" s="53"/>
      <c r="IVT28" s="28"/>
      <c r="IVV28" s="55"/>
      <c r="IVW28" s="53"/>
      <c r="IWA28" s="28"/>
      <c r="IWC28" s="55"/>
      <c r="IWD28" s="53"/>
      <c r="IWH28" s="28"/>
      <c r="IWJ28" s="55"/>
      <c r="IWK28" s="53"/>
      <c r="IWO28" s="28"/>
      <c r="IWQ28" s="55"/>
      <c r="IWR28" s="53"/>
      <c r="IWV28" s="28"/>
      <c r="IWX28" s="55"/>
      <c r="IWY28" s="53"/>
      <c r="IXC28" s="28"/>
      <c r="IXE28" s="55"/>
      <c r="IXF28" s="53"/>
      <c r="IXJ28" s="28"/>
      <c r="IXL28" s="55"/>
      <c r="IXM28" s="53"/>
      <c r="IXQ28" s="28"/>
      <c r="IXS28" s="55"/>
      <c r="IXT28" s="53"/>
      <c r="IXX28" s="28"/>
      <c r="IXZ28" s="55"/>
      <c r="IYA28" s="53"/>
      <c r="IYE28" s="28"/>
      <c r="IYG28" s="55"/>
      <c r="IYH28" s="53"/>
      <c r="IYL28" s="28"/>
      <c r="IYN28" s="55"/>
      <c r="IYO28" s="53"/>
      <c r="IYS28" s="28"/>
      <c r="IYU28" s="55"/>
      <c r="IYV28" s="53"/>
      <c r="IYZ28" s="28"/>
      <c r="IZB28" s="55"/>
      <c r="IZC28" s="53"/>
      <c r="IZG28" s="28"/>
      <c r="IZI28" s="55"/>
      <c r="IZJ28" s="53"/>
      <c r="IZN28" s="28"/>
      <c r="IZP28" s="55"/>
      <c r="IZQ28" s="53"/>
      <c r="IZU28" s="28"/>
      <c r="IZW28" s="55"/>
      <c r="IZX28" s="53"/>
      <c r="JAB28" s="28"/>
      <c r="JAD28" s="55"/>
      <c r="JAE28" s="53"/>
      <c r="JAI28" s="28"/>
      <c r="JAK28" s="55"/>
      <c r="JAL28" s="53"/>
      <c r="JAP28" s="28"/>
      <c r="JAR28" s="55"/>
      <c r="JAS28" s="53"/>
      <c r="JAW28" s="28"/>
      <c r="JAY28" s="55"/>
      <c r="JAZ28" s="53"/>
      <c r="JBD28" s="28"/>
      <c r="JBF28" s="55"/>
      <c r="JBG28" s="53"/>
      <c r="JBK28" s="28"/>
      <c r="JBM28" s="55"/>
      <c r="JBN28" s="53"/>
      <c r="JBR28" s="28"/>
      <c r="JBT28" s="55"/>
      <c r="JBU28" s="53"/>
      <c r="JBY28" s="28"/>
      <c r="JCA28" s="55"/>
      <c r="JCB28" s="53"/>
      <c r="JCF28" s="28"/>
      <c r="JCH28" s="55"/>
      <c r="JCI28" s="53"/>
      <c r="JCM28" s="28"/>
      <c r="JCO28" s="55"/>
      <c r="JCP28" s="53"/>
      <c r="JCT28" s="28"/>
      <c r="JCV28" s="55"/>
      <c r="JCW28" s="53"/>
      <c r="JDA28" s="28"/>
      <c r="JDC28" s="55"/>
      <c r="JDD28" s="53"/>
      <c r="JDH28" s="28"/>
      <c r="JDJ28" s="55"/>
      <c r="JDK28" s="53"/>
      <c r="JDO28" s="28"/>
      <c r="JDQ28" s="55"/>
      <c r="JDR28" s="53"/>
      <c r="JDV28" s="28"/>
      <c r="JDX28" s="55"/>
      <c r="JDY28" s="53"/>
      <c r="JEC28" s="28"/>
      <c r="JEE28" s="55"/>
      <c r="JEF28" s="53"/>
      <c r="JEJ28" s="28"/>
      <c r="JEL28" s="55"/>
      <c r="JEM28" s="53"/>
      <c r="JEQ28" s="28"/>
      <c r="JES28" s="55"/>
      <c r="JET28" s="53"/>
      <c r="JEX28" s="28"/>
      <c r="JEZ28" s="55"/>
      <c r="JFA28" s="53"/>
      <c r="JFE28" s="28"/>
      <c r="JFG28" s="55"/>
      <c r="JFH28" s="53"/>
      <c r="JFL28" s="28"/>
      <c r="JFN28" s="55"/>
      <c r="JFO28" s="53"/>
      <c r="JFS28" s="28"/>
      <c r="JFU28" s="55"/>
      <c r="JFV28" s="53"/>
      <c r="JFZ28" s="28"/>
      <c r="JGB28" s="55"/>
      <c r="JGC28" s="53"/>
      <c r="JGG28" s="28"/>
      <c r="JGI28" s="55"/>
      <c r="JGJ28" s="53"/>
      <c r="JGN28" s="28"/>
      <c r="JGP28" s="55"/>
      <c r="JGQ28" s="53"/>
      <c r="JGU28" s="28"/>
      <c r="JGW28" s="55"/>
      <c r="JGX28" s="53"/>
      <c r="JHB28" s="28"/>
      <c r="JHD28" s="55"/>
      <c r="JHE28" s="53"/>
      <c r="JHI28" s="28"/>
      <c r="JHK28" s="55"/>
      <c r="JHL28" s="53"/>
      <c r="JHP28" s="28"/>
      <c r="JHR28" s="55"/>
      <c r="JHS28" s="53"/>
      <c r="JHW28" s="28"/>
      <c r="JHY28" s="55"/>
      <c r="JHZ28" s="53"/>
      <c r="JID28" s="28"/>
      <c r="JIF28" s="55"/>
      <c r="JIG28" s="53"/>
      <c r="JIK28" s="28"/>
      <c r="JIM28" s="55"/>
      <c r="JIN28" s="53"/>
      <c r="JIR28" s="28"/>
      <c r="JIT28" s="55"/>
      <c r="JIU28" s="53"/>
      <c r="JIY28" s="28"/>
      <c r="JJA28" s="55"/>
      <c r="JJB28" s="53"/>
      <c r="JJF28" s="28"/>
      <c r="JJH28" s="55"/>
      <c r="JJI28" s="53"/>
      <c r="JJM28" s="28"/>
      <c r="JJO28" s="55"/>
      <c r="JJP28" s="53"/>
      <c r="JJT28" s="28"/>
      <c r="JJV28" s="55"/>
      <c r="JJW28" s="53"/>
      <c r="JKA28" s="28"/>
      <c r="JKC28" s="55"/>
      <c r="JKD28" s="53"/>
      <c r="JKH28" s="28"/>
      <c r="JKJ28" s="55"/>
      <c r="JKK28" s="53"/>
      <c r="JKO28" s="28"/>
      <c r="JKQ28" s="55"/>
      <c r="JKR28" s="53"/>
      <c r="JKV28" s="28"/>
      <c r="JKX28" s="55"/>
      <c r="JKY28" s="53"/>
      <c r="JLC28" s="28"/>
      <c r="JLE28" s="55"/>
      <c r="JLF28" s="53"/>
      <c r="JLJ28" s="28"/>
      <c r="JLL28" s="55"/>
      <c r="JLM28" s="53"/>
      <c r="JLQ28" s="28"/>
      <c r="JLS28" s="55"/>
      <c r="JLT28" s="53"/>
      <c r="JLX28" s="28"/>
      <c r="JLZ28" s="55"/>
      <c r="JMA28" s="53"/>
      <c r="JME28" s="28"/>
      <c r="JMG28" s="55"/>
      <c r="JMH28" s="53"/>
      <c r="JML28" s="28"/>
      <c r="JMN28" s="55"/>
      <c r="JMO28" s="53"/>
      <c r="JMS28" s="28"/>
      <c r="JMU28" s="55"/>
      <c r="JMV28" s="53"/>
      <c r="JMZ28" s="28"/>
      <c r="JNB28" s="55"/>
      <c r="JNC28" s="53"/>
      <c r="JNG28" s="28"/>
      <c r="JNI28" s="55"/>
      <c r="JNJ28" s="53"/>
      <c r="JNN28" s="28"/>
      <c r="JNP28" s="55"/>
      <c r="JNQ28" s="53"/>
      <c r="JNU28" s="28"/>
      <c r="JNW28" s="55"/>
      <c r="JNX28" s="53"/>
      <c r="JOB28" s="28"/>
      <c r="JOD28" s="55"/>
      <c r="JOE28" s="53"/>
      <c r="JOI28" s="28"/>
      <c r="JOK28" s="55"/>
      <c r="JOL28" s="53"/>
      <c r="JOP28" s="28"/>
      <c r="JOR28" s="55"/>
      <c r="JOS28" s="53"/>
      <c r="JOW28" s="28"/>
      <c r="JOY28" s="55"/>
      <c r="JOZ28" s="53"/>
      <c r="JPD28" s="28"/>
      <c r="JPF28" s="55"/>
      <c r="JPG28" s="53"/>
      <c r="JPK28" s="28"/>
      <c r="JPM28" s="55"/>
      <c r="JPN28" s="53"/>
      <c r="JPR28" s="28"/>
      <c r="JPT28" s="55"/>
      <c r="JPU28" s="53"/>
      <c r="JPY28" s="28"/>
      <c r="JQA28" s="55"/>
      <c r="JQB28" s="53"/>
      <c r="JQF28" s="28"/>
      <c r="JQH28" s="55"/>
      <c r="JQI28" s="53"/>
      <c r="JQM28" s="28"/>
      <c r="JQO28" s="55"/>
      <c r="JQP28" s="53"/>
      <c r="JQT28" s="28"/>
      <c r="JQV28" s="55"/>
      <c r="JQW28" s="53"/>
      <c r="JRA28" s="28"/>
      <c r="JRC28" s="55"/>
      <c r="JRD28" s="53"/>
      <c r="JRH28" s="28"/>
      <c r="JRJ28" s="55"/>
      <c r="JRK28" s="53"/>
      <c r="JRO28" s="28"/>
      <c r="JRQ28" s="55"/>
      <c r="JRR28" s="53"/>
      <c r="JRV28" s="28"/>
      <c r="JRX28" s="55"/>
      <c r="JRY28" s="53"/>
      <c r="JSC28" s="28"/>
      <c r="JSE28" s="55"/>
      <c r="JSF28" s="53"/>
      <c r="JSJ28" s="28"/>
      <c r="JSL28" s="55"/>
      <c r="JSM28" s="53"/>
      <c r="JSQ28" s="28"/>
      <c r="JSS28" s="55"/>
      <c r="JST28" s="53"/>
      <c r="JSX28" s="28"/>
      <c r="JSZ28" s="55"/>
      <c r="JTA28" s="53"/>
      <c r="JTE28" s="28"/>
      <c r="JTG28" s="55"/>
      <c r="JTH28" s="53"/>
      <c r="JTL28" s="28"/>
      <c r="JTN28" s="55"/>
      <c r="JTO28" s="53"/>
      <c r="JTS28" s="28"/>
      <c r="JTU28" s="55"/>
      <c r="JTV28" s="53"/>
      <c r="JTZ28" s="28"/>
      <c r="JUB28" s="55"/>
      <c r="JUC28" s="53"/>
      <c r="JUG28" s="28"/>
      <c r="JUI28" s="55"/>
      <c r="JUJ28" s="53"/>
      <c r="JUN28" s="28"/>
      <c r="JUP28" s="55"/>
      <c r="JUQ28" s="53"/>
      <c r="JUU28" s="28"/>
      <c r="JUW28" s="55"/>
      <c r="JUX28" s="53"/>
      <c r="JVB28" s="28"/>
      <c r="JVD28" s="55"/>
      <c r="JVE28" s="53"/>
      <c r="JVI28" s="28"/>
      <c r="JVK28" s="55"/>
      <c r="JVL28" s="53"/>
      <c r="JVP28" s="28"/>
      <c r="JVR28" s="55"/>
      <c r="JVS28" s="53"/>
      <c r="JVW28" s="28"/>
      <c r="JVY28" s="55"/>
      <c r="JVZ28" s="53"/>
      <c r="JWD28" s="28"/>
      <c r="JWF28" s="55"/>
      <c r="JWG28" s="53"/>
      <c r="JWK28" s="28"/>
      <c r="JWM28" s="55"/>
      <c r="JWN28" s="53"/>
      <c r="JWR28" s="28"/>
      <c r="JWT28" s="55"/>
      <c r="JWU28" s="53"/>
      <c r="JWY28" s="28"/>
      <c r="JXA28" s="55"/>
      <c r="JXB28" s="53"/>
      <c r="JXF28" s="28"/>
      <c r="JXH28" s="55"/>
      <c r="JXI28" s="53"/>
      <c r="JXM28" s="28"/>
      <c r="JXO28" s="55"/>
      <c r="JXP28" s="53"/>
      <c r="JXT28" s="28"/>
      <c r="JXV28" s="55"/>
      <c r="JXW28" s="53"/>
      <c r="JYA28" s="28"/>
      <c r="JYC28" s="55"/>
      <c r="JYD28" s="53"/>
      <c r="JYH28" s="28"/>
      <c r="JYJ28" s="55"/>
      <c r="JYK28" s="53"/>
      <c r="JYO28" s="28"/>
      <c r="JYQ28" s="55"/>
      <c r="JYR28" s="53"/>
      <c r="JYV28" s="28"/>
      <c r="JYX28" s="55"/>
      <c r="JYY28" s="53"/>
      <c r="JZC28" s="28"/>
      <c r="JZE28" s="55"/>
      <c r="JZF28" s="53"/>
      <c r="JZJ28" s="28"/>
      <c r="JZL28" s="55"/>
      <c r="JZM28" s="53"/>
      <c r="JZQ28" s="28"/>
      <c r="JZS28" s="55"/>
      <c r="JZT28" s="53"/>
      <c r="JZX28" s="28"/>
      <c r="JZZ28" s="55"/>
      <c r="KAA28" s="53"/>
      <c r="KAE28" s="28"/>
      <c r="KAG28" s="55"/>
      <c r="KAH28" s="53"/>
      <c r="KAL28" s="28"/>
      <c r="KAN28" s="55"/>
      <c r="KAO28" s="53"/>
      <c r="KAS28" s="28"/>
      <c r="KAU28" s="55"/>
      <c r="KAV28" s="53"/>
      <c r="KAZ28" s="28"/>
      <c r="KBB28" s="55"/>
      <c r="KBC28" s="53"/>
      <c r="KBG28" s="28"/>
      <c r="KBI28" s="55"/>
      <c r="KBJ28" s="53"/>
      <c r="KBN28" s="28"/>
      <c r="KBP28" s="55"/>
      <c r="KBQ28" s="53"/>
      <c r="KBU28" s="28"/>
      <c r="KBW28" s="55"/>
      <c r="KBX28" s="53"/>
      <c r="KCB28" s="28"/>
      <c r="KCD28" s="55"/>
      <c r="KCE28" s="53"/>
      <c r="KCI28" s="28"/>
      <c r="KCK28" s="55"/>
      <c r="KCL28" s="53"/>
      <c r="KCP28" s="28"/>
      <c r="KCR28" s="55"/>
      <c r="KCS28" s="53"/>
      <c r="KCW28" s="28"/>
      <c r="KCY28" s="55"/>
      <c r="KCZ28" s="53"/>
      <c r="KDD28" s="28"/>
      <c r="KDF28" s="55"/>
      <c r="KDG28" s="53"/>
      <c r="KDK28" s="28"/>
      <c r="KDM28" s="55"/>
      <c r="KDN28" s="53"/>
      <c r="KDR28" s="28"/>
      <c r="KDT28" s="55"/>
      <c r="KDU28" s="53"/>
      <c r="KDY28" s="28"/>
      <c r="KEA28" s="55"/>
      <c r="KEB28" s="53"/>
      <c r="KEF28" s="28"/>
      <c r="KEH28" s="55"/>
      <c r="KEI28" s="53"/>
      <c r="KEM28" s="28"/>
      <c r="KEO28" s="55"/>
      <c r="KEP28" s="53"/>
      <c r="KET28" s="28"/>
      <c r="KEV28" s="55"/>
      <c r="KEW28" s="53"/>
      <c r="KFA28" s="28"/>
      <c r="KFC28" s="55"/>
      <c r="KFD28" s="53"/>
      <c r="KFH28" s="28"/>
      <c r="KFJ28" s="55"/>
      <c r="KFK28" s="53"/>
      <c r="KFO28" s="28"/>
      <c r="KFQ28" s="55"/>
      <c r="KFR28" s="53"/>
      <c r="KFV28" s="28"/>
      <c r="KFX28" s="55"/>
      <c r="KFY28" s="53"/>
      <c r="KGC28" s="28"/>
      <c r="KGE28" s="55"/>
      <c r="KGF28" s="53"/>
      <c r="KGJ28" s="28"/>
      <c r="KGL28" s="55"/>
      <c r="KGM28" s="53"/>
      <c r="KGQ28" s="28"/>
      <c r="KGS28" s="55"/>
      <c r="KGT28" s="53"/>
      <c r="KGX28" s="28"/>
      <c r="KGZ28" s="55"/>
      <c r="KHA28" s="53"/>
      <c r="KHE28" s="28"/>
      <c r="KHG28" s="55"/>
      <c r="KHH28" s="53"/>
      <c r="KHL28" s="28"/>
      <c r="KHN28" s="55"/>
      <c r="KHO28" s="53"/>
      <c r="KHS28" s="28"/>
      <c r="KHU28" s="55"/>
      <c r="KHV28" s="53"/>
      <c r="KHZ28" s="28"/>
      <c r="KIB28" s="55"/>
      <c r="KIC28" s="53"/>
      <c r="KIG28" s="28"/>
      <c r="KII28" s="55"/>
      <c r="KIJ28" s="53"/>
      <c r="KIN28" s="28"/>
      <c r="KIP28" s="55"/>
      <c r="KIQ28" s="53"/>
      <c r="KIU28" s="28"/>
      <c r="KIW28" s="55"/>
      <c r="KIX28" s="53"/>
      <c r="KJB28" s="28"/>
      <c r="KJD28" s="55"/>
      <c r="KJE28" s="53"/>
      <c r="KJI28" s="28"/>
      <c r="KJK28" s="55"/>
      <c r="KJL28" s="53"/>
      <c r="KJP28" s="28"/>
      <c r="KJR28" s="55"/>
      <c r="KJS28" s="53"/>
      <c r="KJW28" s="28"/>
      <c r="KJY28" s="55"/>
      <c r="KJZ28" s="53"/>
      <c r="KKD28" s="28"/>
      <c r="KKF28" s="55"/>
      <c r="KKG28" s="53"/>
      <c r="KKK28" s="28"/>
      <c r="KKM28" s="55"/>
      <c r="KKN28" s="53"/>
      <c r="KKR28" s="28"/>
      <c r="KKT28" s="55"/>
      <c r="KKU28" s="53"/>
      <c r="KKY28" s="28"/>
      <c r="KLA28" s="55"/>
      <c r="KLB28" s="53"/>
      <c r="KLF28" s="28"/>
      <c r="KLH28" s="55"/>
      <c r="KLI28" s="53"/>
      <c r="KLM28" s="28"/>
      <c r="KLO28" s="55"/>
      <c r="KLP28" s="53"/>
      <c r="KLT28" s="28"/>
      <c r="KLV28" s="55"/>
      <c r="KLW28" s="53"/>
      <c r="KMA28" s="28"/>
      <c r="KMC28" s="55"/>
      <c r="KMD28" s="53"/>
      <c r="KMH28" s="28"/>
      <c r="KMJ28" s="55"/>
      <c r="KMK28" s="53"/>
      <c r="KMO28" s="28"/>
      <c r="KMQ28" s="55"/>
      <c r="KMR28" s="53"/>
      <c r="KMV28" s="28"/>
      <c r="KMX28" s="55"/>
      <c r="KMY28" s="53"/>
      <c r="KNC28" s="28"/>
      <c r="KNE28" s="55"/>
      <c r="KNF28" s="53"/>
      <c r="KNJ28" s="28"/>
      <c r="KNL28" s="55"/>
      <c r="KNM28" s="53"/>
      <c r="KNQ28" s="28"/>
      <c r="KNS28" s="55"/>
      <c r="KNT28" s="53"/>
      <c r="KNX28" s="28"/>
      <c r="KNZ28" s="55"/>
      <c r="KOA28" s="53"/>
      <c r="KOE28" s="28"/>
      <c r="KOG28" s="55"/>
      <c r="KOH28" s="53"/>
      <c r="KOL28" s="28"/>
      <c r="KON28" s="55"/>
      <c r="KOO28" s="53"/>
      <c r="KOS28" s="28"/>
      <c r="KOU28" s="55"/>
      <c r="KOV28" s="53"/>
      <c r="KOZ28" s="28"/>
      <c r="KPB28" s="55"/>
      <c r="KPC28" s="53"/>
      <c r="KPG28" s="28"/>
      <c r="KPI28" s="55"/>
      <c r="KPJ28" s="53"/>
      <c r="KPN28" s="28"/>
      <c r="KPP28" s="55"/>
      <c r="KPQ28" s="53"/>
      <c r="KPU28" s="28"/>
      <c r="KPW28" s="55"/>
      <c r="KPX28" s="53"/>
      <c r="KQB28" s="28"/>
      <c r="KQD28" s="55"/>
      <c r="KQE28" s="53"/>
      <c r="KQI28" s="28"/>
      <c r="KQK28" s="55"/>
      <c r="KQL28" s="53"/>
      <c r="KQP28" s="28"/>
      <c r="KQR28" s="55"/>
      <c r="KQS28" s="53"/>
      <c r="KQW28" s="28"/>
      <c r="KQY28" s="55"/>
      <c r="KQZ28" s="53"/>
      <c r="KRD28" s="28"/>
      <c r="KRF28" s="55"/>
      <c r="KRG28" s="53"/>
      <c r="KRK28" s="28"/>
      <c r="KRM28" s="55"/>
      <c r="KRN28" s="53"/>
      <c r="KRR28" s="28"/>
      <c r="KRT28" s="55"/>
      <c r="KRU28" s="53"/>
      <c r="KRY28" s="28"/>
      <c r="KSA28" s="55"/>
      <c r="KSB28" s="53"/>
      <c r="KSF28" s="28"/>
      <c r="KSH28" s="55"/>
      <c r="KSI28" s="53"/>
      <c r="KSM28" s="28"/>
      <c r="KSO28" s="55"/>
      <c r="KSP28" s="53"/>
      <c r="KST28" s="28"/>
      <c r="KSV28" s="55"/>
      <c r="KSW28" s="53"/>
      <c r="KTA28" s="28"/>
      <c r="KTC28" s="55"/>
      <c r="KTD28" s="53"/>
      <c r="KTH28" s="28"/>
      <c r="KTJ28" s="55"/>
      <c r="KTK28" s="53"/>
      <c r="KTO28" s="28"/>
      <c r="KTQ28" s="55"/>
      <c r="KTR28" s="53"/>
      <c r="KTV28" s="28"/>
      <c r="KTX28" s="55"/>
      <c r="KTY28" s="53"/>
      <c r="KUC28" s="28"/>
      <c r="KUE28" s="55"/>
      <c r="KUF28" s="53"/>
      <c r="KUJ28" s="28"/>
      <c r="KUL28" s="55"/>
      <c r="KUM28" s="53"/>
      <c r="KUQ28" s="28"/>
      <c r="KUS28" s="55"/>
      <c r="KUT28" s="53"/>
      <c r="KUX28" s="28"/>
      <c r="KUZ28" s="55"/>
      <c r="KVA28" s="53"/>
      <c r="KVE28" s="28"/>
      <c r="KVG28" s="55"/>
      <c r="KVH28" s="53"/>
      <c r="KVL28" s="28"/>
      <c r="KVN28" s="55"/>
      <c r="KVO28" s="53"/>
      <c r="KVS28" s="28"/>
      <c r="KVU28" s="55"/>
      <c r="KVV28" s="53"/>
      <c r="KVZ28" s="28"/>
      <c r="KWB28" s="55"/>
      <c r="KWC28" s="53"/>
      <c r="KWG28" s="28"/>
      <c r="KWI28" s="55"/>
      <c r="KWJ28" s="53"/>
      <c r="KWN28" s="28"/>
      <c r="KWP28" s="55"/>
      <c r="KWQ28" s="53"/>
      <c r="KWU28" s="28"/>
      <c r="KWW28" s="55"/>
      <c r="KWX28" s="53"/>
      <c r="KXB28" s="28"/>
      <c r="KXD28" s="55"/>
      <c r="KXE28" s="53"/>
      <c r="KXI28" s="28"/>
      <c r="KXK28" s="55"/>
      <c r="KXL28" s="53"/>
      <c r="KXP28" s="28"/>
      <c r="KXR28" s="55"/>
      <c r="KXS28" s="53"/>
      <c r="KXW28" s="28"/>
      <c r="KXY28" s="55"/>
      <c r="KXZ28" s="53"/>
      <c r="KYD28" s="28"/>
      <c r="KYF28" s="55"/>
      <c r="KYG28" s="53"/>
      <c r="KYK28" s="28"/>
      <c r="KYM28" s="55"/>
      <c r="KYN28" s="53"/>
      <c r="KYR28" s="28"/>
      <c r="KYT28" s="55"/>
      <c r="KYU28" s="53"/>
      <c r="KYY28" s="28"/>
      <c r="KZA28" s="55"/>
      <c r="KZB28" s="53"/>
      <c r="KZF28" s="28"/>
      <c r="KZH28" s="55"/>
      <c r="KZI28" s="53"/>
      <c r="KZM28" s="28"/>
      <c r="KZO28" s="55"/>
      <c r="KZP28" s="53"/>
      <c r="KZT28" s="28"/>
      <c r="KZV28" s="55"/>
      <c r="KZW28" s="53"/>
      <c r="LAA28" s="28"/>
      <c r="LAC28" s="55"/>
      <c r="LAD28" s="53"/>
      <c r="LAH28" s="28"/>
      <c r="LAJ28" s="55"/>
      <c r="LAK28" s="53"/>
      <c r="LAO28" s="28"/>
      <c r="LAQ28" s="55"/>
      <c r="LAR28" s="53"/>
      <c r="LAV28" s="28"/>
      <c r="LAX28" s="55"/>
      <c r="LAY28" s="53"/>
      <c r="LBC28" s="28"/>
      <c r="LBE28" s="55"/>
      <c r="LBF28" s="53"/>
      <c r="LBJ28" s="28"/>
      <c r="LBL28" s="55"/>
      <c r="LBM28" s="53"/>
      <c r="LBQ28" s="28"/>
      <c r="LBS28" s="55"/>
      <c r="LBT28" s="53"/>
      <c r="LBX28" s="28"/>
      <c r="LBZ28" s="55"/>
      <c r="LCA28" s="53"/>
      <c r="LCE28" s="28"/>
      <c r="LCG28" s="55"/>
      <c r="LCH28" s="53"/>
      <c r="LCL28" s="28"/>
      <c r="LCN28" s="55"/>
      <c r="LCO28" s="53"/>
      <c r="LCS28" s="28"/>
      <c r="LCU28" s="55"/>
      <c r="LCV28" s="53"/>
      <c r="LCZ28" s="28"/>
      <c r="LDB28" s="55"/>
      <c r="LDC28" s="53"/>
      <c r="LDG28" s="28"/>
      <c r="LDI28" s="55"/>
      <c r="LDJ28" s="53"/>
      <c r="LDN28" s="28"/>
      <c r="LDP28" s="55"/>
      <c r="LDQ28" s="53"/>
      <c r="LDU28" s="28"/>
      <c r="LDW28" s="55"/>
      <c r="LDX28" s="53"/>
      <c r="LEB28" s="28"/>
      <c r="LED28" s="55"/>
      <c r="LEE28" s="53"/>
      <c r="LEI28" s="28"/>
      <c r="LEK28" s="55"/>
      <c r="LEL28" s="53"/>
      <c r="LEP28" s="28"/>
      <c r="LER28" s="55"/>
      <c r="LES28" s="53"/>
      <c r="LEW28" s="28"/>
      <c r="LEY28" s="55"/>
      <c r="LEZ28" s="53"/>
      <c r="LFD28" s="28"/>
      <c r="LFF28" s="55"/>
      <c r="LFG28" s="53"/>
      <c r="LFK28" s="28"/>
      <c r="LFM28" s="55"/>
      <c r="LFN28" s="53"/>
      <c r="LFR28" s="28"/>
      <c r="LFT28" s="55"/>
      <c r="LFU28" s="53"/>
      <c r="LFY28" s="28"/>
      <c r="LGA28" s="55"/>
      <c r="LGB28" s="53"/>
      <c r="LGF28" s="28"/>
      <c r="LGH28" s="55"/>
      <c r="LGI28" s="53"/>
      <c r="LGM28" s="28"/>
      <c r="LGO28" s="55"/>
      <c r="LGP28" s="53"/>
      <c r="LGT28" s="28"/>
      <c r="LGV28" s="55"/>
      <c r="LGW28" s="53"/>
      <c r="LHA28" s="28"/>
      <c r="LHC28" s="55"/>
      <c r="LHD28" s="53"/>
      <c r="LHH28" s="28"/>
      <c r="LHJ28" s="55"/>
      <c r="LHK28" s="53"/>
      <c r="LHO28" s="28"/>
      <c r="LHQ28" s="55"/>
      <c r="LHR28" s="53"/>
      <c r="LHV28" s="28"/>
      <c r="LHX28" s="55"/>
      <c r="LHY28" s="53"/>
      <c r="LIC28" s="28"/>
      <c r="LIE28" s="55"/>
      <c r="LIF28" s="53"/>
      <c r="LIJ28" s="28"/>
      <c r="LIL28" s="55"/>
      <c r="LIM28" s="53"/>
      <c r="LIQ28" s="28"/>
      <c r="LIS28" s="55"/>
      <c r="LIT28" s="53"/>
      <c r="LIX28" s="28"/>
      <c r="LIZ28" s="55"/>
      <c r="LJA28" s="53"/>
      <c r="LJE28" s="28"/>
      <c r="LJG28" s="55"/>
      <c r="LJH28" s="53"/>
      <c r="LJL28" s="28"/>
      <c r="LJN28" s="55"/>
      <c r="LJO28" s="53"/>
      <c r="LJS28" s="28"/>
      <c r="LJU28" s="55"/>
      <c r="LJV28" s="53"/>
      <c r="LJZ28" s="28"/>
      <c r="LKB28" s="55"/>
      <c r="LKC28" s="53"/>
      <c r="LKG28" s="28"/>
      <c r="LKI28" s="55"/>
      <c r="LKJ28" s="53"/>
      <c r="LKN28" s="28"/>
      <c r="LKP28" s="55"/>
      <c r="LKQ28" s="53"/>
      <c r="LKU28" s="28"/>
      <c r="LKW28" s="55"/>
      <c r="LKX28" s="53"/>
      <c r="LLB28" s="28"/>
      <c r="LLD28" s="55"/>
      <c r="LLE28" s="53"/>
      <c r="LLI28" s="28"/>
      <c r="LLK28" s="55"/>
      <c r="LLL28" s="53"/>
      <c r="LLP28" s="28"/>
      <c r="LLR28" s="55"/>
      <c r="LLS28" s="53"/>
      <c r="LLW28" s="28"/>
      <c r="LLY28" s="55"/>
      <c r="LLZ28" s="53"/>
      <c r="LMD28" s="28"/>
      <c r="LMF28" s="55"/>
      <c r="LMG28" s="53"/>
      <c r="LMK28" s="28"/>
      <c r="LMM28" s="55"/>
      <c r="LMN28" s="53"/>
      <c r="LMR28" s="28"/>
      <c r="LMT28" s="55"/>
      <c r="LMU28" s="53"/>
      <c r="LMY28" s="28"/>
      <c r="LNA28" s="55"/>
      <c r="LNB28" s="53"/>
      <c r="LNF28" s="28"/>
      <c r="LNH28" s="55"/>
      <c r="LNI28" s="53"/>
      <c r="LNM28" s="28"/>
      <c r="LNO28" s="55"/>
      <c r="LNP28" s="53"/>
      <c r="LNT28" s="28"/>
      <c r="LNV28" s="55"/>
      <c r="LNW28" s="53"/>
      <c r="LOA28" s="28"/>
      <c r="LOC28" s="55"/>
      <c r="LOD28" s="53"/>
      <c r="LOH28" s="28"/>
      <c r="LOJ28" s="55"/>
      <c r="LOK28" s="53"/>
      <c r="LOO28" s="28"/>
      <c r="LOQ28" s="55"/>
      <c r="LOR28" s="53"/>
      <c r="LOV28" s="28"/>
      <c r="LOX28" s="55"/>
      <c r="LOY28" s="53"/>
      <c r="LPC28" s="28"/>
      <c r="LPE28" s="55"/>
      <c r="LPF28" s="53"/>
      <c r="LPJ28" s="28"/>
      <c r="LPL28" s="55"/>
      <c r="LPM28" s="53"/>
      <c r="LPQ28" s="28"/>
      <c r="LPS28" s="55"/>
      <c r="LPT28" s="53"/>
      <c r="LPX28" s="28"/>
      <c r="LPZ28" s="55"/>
      <c r="LQA28" s="53"/>
      <c r="LQE28" s="28"/>
      <c r="LQG28" s="55"/>
      <c r="LQH28" s="53"/>
      <c r="LQL28" s="28"/>
      <c r="LQN28" s="55"/>
      <c r="LQO28" s="53"/>
      <c r="LQS28" s="28"/>
      <c r="LQU28" s="55"/>
      <c r="LQV28" s="53"/>
      <c r="LQZ28" s="28"/>
      <c r="LRB28" s="55"/>
      <c r="LRC28" s="53"/>
      <c r="LRG28" s="28"/>
      <c r="LRI28" s="55"/>
      <c r="LRJ28" s="53"/>
      <c r="LRN28" s="28"/>
      <c r="LRP28" s="55"/>
      <c r="LRQ28" s="53"/>
      <c r="LRU28" s="28"/>
      <c r="LRW28" s="55"/>
      <c r="LRX28" s="53"/>
      <c r="LSB28" s="28"/>
      <c r="LSD28" s="55"/>
      <c r="LSE28" s="53"/>
      <c r="LSI28" s="28"/>
      <c r="LSK28" s="55"/>
      <c r="LSL28" s="53"/>
      <c r="LSP28" s="28"/>
      <c r="LSR28" s="55"/>
      <c r="LSS28" s="53"/>
      <c r="LSW28" s="28"/>
      <c r="LSY28" s="55"/>
      <c r="LSZ28" s="53"/>
      <c r="LTD28" s="28"/>
      <c r="LTF28" s="55"/>
      <c r="LTG28" s="53"/>
      <c r="LTK28" s="28"/>
      <c r="LTM28" s="55"/>
      <c r="LTN28" s="53"/>
      <c r="LTR28" s="28"/>
      <c r="LTT28" s="55"/>
      <c r="LTU28" s="53"/>
      <c r="LTY28" s="28"/>
      <c r="LUA28" s="55"/>
      <c r="LUB28" s="53"/>
      <c r="LUF28" s="28"/>
      <c r="LUH28" s="55"/>
      <c r="LUI28" s="53"/>
      <c r="LUM28" s="28"/>
      <c r="LUO28" s="55"/>
      <c r="LUP28" s="53"/>
      <c r="LUT28" s="28"/>
      <c r="LUV28" s="55"/>
      <c r="LUW28" s="53"/>
      <c r="LVA28" s="28"/>
      <c r="LVC28" s="55"/>
      <c r="LVD28" s="53"/>
      <c r="LVH28" s="28"/>
      <c r="LVJ28" s="55"/>
      <c r="LVK28" s="53"/>
      <c r="LVO28" s="28"/>
      <c r="LVQ28" s="55"/>
      <c r="LVR28" s="53"/>
      <c r="LVV28" s="28"/>
      <c r="LVX28" s="55"/>
      <c r="LVY28" s="53"/>
      <c r="LWC28" s="28"/>
      <c r="LWE28" s="55"/>
      <c r="LWF28" s="53"/>
      <c r="LWJ28" s="28"/>
      <c r="LWL28" s="55"/>
      <c r="LWM28" s="53"/>
      <c r="LWQ28" s="28"/>
      <c r="LWS28" s="55"/>
      <c r="LWT28" s="53"/>
      <c r="LWX28" s="28"/>
      <c r="LWZ28" s="55"/>
      <c r="LXA28" s="53"/>
      <c r="LXE28" s="28"/>
      <c r="LXG28" s="55"/>
      <c r="LXH28" s="53"/>
      <c r="LXL28" s="28"/>
      <c r="LXN28" s="55"/>
      <c r="LXO28" s="53"/>
      <c r="LXS28" s="28"/>
      <c r="LXU28" s="55"/>
      <c r="LXV28" s="53"/>
      <c r="LXZ28" s="28"/>
      <c r="LYB28" s="55"/>
      <c r="LYC28" s="53"/>
      <c r="LYG28" s="28"/>
      <c r="LYI28" s="55"/>
      <c r="LYJ28" s="53"/>
      <c r="LYN28" s="28"/>
      <c r="LYP28" s="55"/>
      <c r="LYQ28" s="53"/>
      <c r="LYU28" s="28"/>
      <c r="LYW28" s="55"/>
      <c r="LYX28" s="53"/>
      <c r="LZB28" s="28"/>
      <c r="LZD28" s="55"/>
      <c r="LZE28" s="53"/>
      <c r="LZI28" s="28"/>
      <c r="LZK28" s="55"/>
      <c r="LZL28" s="53"/>
      <c r="LZP28" s="28"/>
      <c r="LZR28" s="55"/>
      <c r="LZS28" s="53"/>
      <c r="LZW28" s="28"/>
      <c r="LZY28" s="55"/>
      <c r="LZZ28" s="53"/>
      <c r="MAD28" s="28"/>
      <c r="MAF28" s="55"/>
      <c r="MAG28" s="53"/>
      <c r="MAK28" s="28"/>
      <c r="MAM28" s="55"/>
      <c r="MAN28" s="53"/>
      <c r="MAR28" s="28"/>
      <c r="MAT28" s="55"/>
      <c r="MAU28" s="53"/>
      <c r="MAY28" s="28"/>
      <c r="MBA28" s="55"/>
      <c r="MBB28" s="53"/>
      <c r="MBF28" s="28"/>
      <c r="MBH28" s="55"/>
      <c r="MBI28" s="53"/>
      <c r="MBM28" s="28"/>
      <c r="MBO28" s="55"/>
      <c r="MBP28" s="53"/>
      <c r="MBT28" s="28"/>
      <c r="MBV28" s="55"/>
      <c r="MBW28" s="53"/>
      <c r="MCA28" s="28"/>
      <c r="MCC28" s="55"/>
      <c r="MCD28" s="53"/>
      <c r="MCH28" s="28"/>
      <c r="MCJ28" s="55"/>
      <c r="MCK28" s="53"/>
      <c r="MCO28" s="28"/>
      <c r="MCQ28" s="55"/>
      <c r="MCR28" s="53"/>
      <c r="MCV28" s="28"/>
      <c r="MCX28" s="55"/>
      <c r="MCY28" s="53"/>
      <c r="MDC28" s="28"/>
      <c r="MDE28" s="55"/>
      <c r="MDF28" s="53"/>
      <c r="MDJ28" s="28"/>
      <c r="MDL28" s="55"/>
      <c r="MDM28" s="53"/>
      <c r="MDQ28" s="28"/>
      <c r="MDS28" s="55"/>
      <c r="MDT28" s="53"/>
      <c r="MDX28" s="28"/>
      <c r="MDZ28" s="55"/>
      <c r="MEA28" s="53"/>
      <c r="MEE28" s="28"/>
      <c r="MEG28" s="55"/>
      <c r="MEH28" s="53"/>
      <c r="MEL28" s="28"/>
      <c r="MEN28" s="55"/>
      <c r="MEO28" s="53"/>
      <c r="MES28" s="28"/>
      <c r="MEU28" s="55"/>
      <c r="MEV28" s="53"/>
      <c r="MEZ28" s="28"/>
      <c r="MFB28" s="55"/>
      <c r="MFC28" s="53"/>
      <c r="MFG28" s="28"/>
      <c r="MFI28" s="55"/>
      <c r="MFJ28" s="53"/>
      <c r="MFN28" s="28"/>
      <c r="MFP28" s="55"/>
      <c r="MFQ28" s="53"/>
      <c r="MFU28" s="28"/>
      <c r="MFW28" s="55"/>
      <c r="MFX28" s="53"/>
      <c r="MGB28" s="28"/>
      <c r="MGD28" s="55"/>
      <c r="MGE28" s="53"/>
      <c r="MGI28" s="28"/>
      <c r="MGK28" s="55"/>
      <c r="MGL28" s="53"/>
      <c r="MGP28" s="28"/>
      <c r="MGR28" s="55"/>
      <c r="MGS28" s="53"/>
      <c r="MGW28" s="28"/>
      <c r="MGY28" s="55"/>
      <c r="MGZ28" s="53"/>
      <c r="MHD28" s="28"/>
      <c r="MHF28" s="55"/>
      <c r="MHG28" s="53"/>
      <c r="MHK28" s="28"/>
      <c r="MHM28" s="55"/>
      <c r="MHN28" s="53"/>
      <c r="MHR28" s="28"/>
      <c r="MHT28" s="55"/>
      <c r="MHU28" s="53"/>
      <c r="MHY28" s="28"/>
      <c r="MIA28" s="55"/>
      <c r="MIB28" s="53"/>
      <c r="MIF28" s="28"/>
      <c r="MIH28" s="55"/>
      <c r="MII28" s="53"/>
      <c r="MIM28" s="28"/>
      <c r="MIO28" s="55"/>
      <c r="MIP28" s="53"/>
      <c r="MIT28" s="28"/>
      <c r="MIV28" s="55"/>
      <c r="MIW28" s="53"/>
      <c r="MJA28" s="28"/>
      <c r="MJC28" s="55"/>
      <c r="MJD28" s="53"/>
      <c r="MJH28" s="28"/>
      <c r="MJJ28" s="55"/>
      <c r="MJK28" s="53"/>
      <c r="MJO28" s="28"/>
      <c r="MJQ28" s="55"/>
      <c r="MJR28" s="53"/>
      <c r="MJV28" s="28"/>
      <c r="MJX28" s="55"/>
      <c r="MJY28" s="53"/>
      <c r="MKC28" s="28"/>
      <c r="MKE28" s="55"/>
      <c r="MKF28" s="53"/>
      <c r="MKJ28" s="28"/>
      <c r="MKL28" s="55"/>
      <c r="MKM28" s="53"/>
      <c r="MKQ28" s="28"/>
      <c r="MKS28" s="55"/>
      <c r="MKT28" s="53"/>
      <c r="MKX28" s="28"/>
      <c r="MKZ28" s="55"/>
      <c r="MLA28" s="53"/>
      <c r="MLE28" s="28"/>
      <c r="MLG28" s="55"/>
      <c r="MLH28" s="53"/>
      <c r="MLL28" s="28"/>
      <c r="MLN28" s="55"/>
      <c r="MLO28" s="53"/>
      <c r="MLS28" s="28"/>
      <c r="MLU28" s="55"/>
      <c r="MLV28" s="53"/>
      <c r="MLZ28" s="28"/>
      <c r="MMB28" s="55"/>
      <c r="MMC28" s="53"/>
      <c r="MMG28" s="28"/>
      <c r="MMI28" s="55"/>
      <c r="MMJ28" s="53"/>
      <c r="MMN28" s="28"/>
      <c r="MMP28" s="55"/>
      <c r="MMQ28" s="53"/>
      <c r="MMU28" s="28"/>
      <c r="MMW28" s="55"/>
      <c r="MMX28" s="53"/>
      <c r="MNB28" s="28"/>
      <c r="MND28" s="55"/>
      <c r="MNE28" s="53"/>
      <c r="MNI28" s="28"/>
      <c r="MNK28" s="55"/>
      <c r="MNL28" s="53"/>
      <c r="MNP28" s="28"/>
      <c r="MNR28" s="55"/>
      <c r="MNS28" s="53"/>
      <c r="MNW28" s="28"/>
      <c r="MNY28" s="55"/>
      <c r="MNZ28" s="53"/>
      <c r="MOD28" s="28"/>
      <c r="MOF28" s="55"/>
      <c r="MOG28" s="53"/>
      <c r="MOK28" s="28"/>
      <c r="MOM28" s="55"/>
      <c r="MON28" s="53"/>
      <c r="MOR28" s="28"/>
      <c r="MOT28" s="55"/>
      <c r="MOU28" s="53"/>
      <c r="MOY28" s="28"/>
      <c r="MPA28" s="55"/>
      <c r="MPB28" s="53"/>
      <c r="MPF28" s="28"/>
      <c r="MPH28" s="55"/>
      <c r="MPI28" s="53"/>
      <c r="MPM28" s="28"/>
      <c r="MPO28" s="55"/>
      <c r="MPP28" s="53"/>
      <c r="MPT28" s="28"/>
      <c r="MPV28" s="55"/>
      <c r="MPW28" s="53"/>
      <c r="MQA28" s="28"/>
      <c r="MQC28" s="55"/>
      <c r="MQD28" s="53"/>
      <c r="MQH28" s="28"/>
      <c r="MQJ28" s="55"/>
      <c r="MQK28" s="53"/>
      <c r="MQO28" s="28"/>
      <c r="MQQ28" s="55"/>
      <c r="MQR28" s="53"/>
      <c r="MQV28" s="28"/>
      <c r="MQX28" s="55"/>
      <c r="MQY28" s="53"/>
      <c r="MRC28" s="28"/>
      <c r="MRE28" s="55"/>
      <c r="MRF28" s="53"/>
      <c r="MRJ28" s="28"/>
      <c r="MRL28" s="55"/>
      <c r="MRM28" s="53"/>
      <c r="MRQ28" s="28"/>
      <c r="MRS28" s="55"/>
      <c r="MRT28" s="53"/>
      <c r="MRX28" s="28"/>
      <c r="MRZ28" s="55"/>
      <c r="MSA28" s="53"/>
      <c r="MSE28" s="28"/>
      <c r="MSG28" s="55"/>
      <c r="MSH28" s="53"/>
      <c r="MSL28" s="28"/>
      <c r="MSN28" s="55"/>
      <c r="MSO28" s="53"/>
      <c r="MSS28" s="28"/>
      <c r="MSU28" s="55"/>
      <c r="MSV28" s="53"/>
      <c r="MSZ28" s="28"/>
      <c r="MTB28" s="55"/>
      <c r="MTC28" s="53"/>
      <c r="MTG28" s="28"/>
      <c r="MTI28" s="55"/>
      <c r="MTJ28" s="53"/>
      <c r="MTN28" s="28"/>
      <c r="MTP28" s="55"/>
      <c r="MTQ28" s="53"/>
      <c r="MTU28" s="28"/>
      <c r="MTW28" s="55"/>
      <c r="MTX28" s="53"/>
      <c r="MUB28" s="28"/>
      <c r="MUD28" s="55"/>
      <c r="MUE28" s="53"/>
      <c r="MUI28" s="28"/>
      <c r="MUK28" s="55"/>
      <c r="MUL28" s="53"/>
      <c r="MUP28" s="28"/>
      <c r="MUR28" s="55"/>
      <c r="MUS28" s="53"/>
      <c r="MUW28" s="28"/>
      <c r="MUY28" s="55"/>
      <c r="MUZ28" s="53"/>
      <c r="MVD28" s="28"/>
      <c r="MVF28" s="55"/>
      <c r="MVG28" s="53"/>
      <c r="MVK28" s="28"/>
      <c r="MVM28" s="55"/>
      <c r="MVN28" s="53"/>
      <c r="MVR28" s="28"/>
      <c r="MVT28" s="55"/>
      <c r="MVU28" s="53"/>
      <c r="MVY28" s="28"/>
      <c r="MWA28" s="55"/>
      <c r="MWB28" s="53"/>
      <c r="MWF28" s="28"/>
      <c r="MWH28" s="55"/>
      <c r="MWI28" s="53"/>
      <c r="MWM28" s="28"/>
      <c r="MWO28" s="55"/>
      <c r="MWP28" s="53"/>
      <c r="MWT28" s="28"/>
      <c r="MWV28" s="55"/>
      <c r="MWW28" s="53"/>
      <c r="MXA28" s="28"/>
      <c r="MXC28" s="55"/>
      <c r="MXD28" s="53"/>
      <c r="MXH28" s="28"/>
      <c r="MXJ28" s="55"/>
      <c r="MXK28" s="53"/>
      <c r="MXO28" s="28"/>
      <c r="MXQ28" s="55"/>
      <c r="MXR28" s="53"/>
      <c r="MXV28" s="28"/>
      <c r="MXX28" s="55"/>
      <c r="MXY28" s="53"/>
      <c r="MYC28" s="28"/>
      <c r="MYE28" s="55"/>
      <c r="MYF28" s="53"/>
      <c r="MYJ28" s="28"/>
      <c r="MYL28" s="55"/>
      <c r="MYM28" s="53"/>
      <c r="MYQ28" s="28"/>
      <c r="MYS28" s="55"/>
      <c r="MYT28" s="53"/>
      <c r="MYX28" s="28"/>
      <c r="MYZ28" s="55"/>
      <c r="MZA28" s="53"/>
      <c r="MZE28" s="28"/>
      <c r="MZG28" s="55"/>
      <c r="MZH28" s="53"/>
      <c r="MZL28" s="28"/>
      <c r="MZN28" s="55"/>
      <c r="MZO28" s="53"/>
      <c r="MZS28" s="28"/>
      <c r="MZU28" s="55"/>
      <c r="MZV28" s="53"/>
      <c r="MZZ28" s="28"/>
      <c r="NAB28" s="55"/>
      <c r="NAC28" s="53"/>
      <c r="NAG28" s="28"/>
      <c r="NAI28" s="55"/>
      <c r="NAJ28" s="53"/>
      <c r="NAN28" s="28"/>
      <c r="NAP28" s="55"/>
      <c r="NAQ28" s="53"/>
      <c r="NAU28" s="28"/>
      <c r="NAW28" s="55"/>
      <c r="NAX28" s="53"/>
      <c r="NBB28" s="28"/>
      <c r="NBD28" s="55"/>
      <c r="NBE28" s="53"/>
      <c r="NBI28" s="28"/>
      <c r="NBK28" s="55"/>
      <c r="NBL28" s="53"/>
      <c r="NBP28" s="28"/>
      <c r="NBR28" s="55"/>
      <c r="NBS28" s="53"/>
      <c r="NBW28" s="28"/>
      <c r="NBY28" s="55"/>
      <c r="NBZ28" s="53"/>
      <c r="NCD28" s="28"/>
      <c r="NCF28" s="55"/>
      <c r="NCG28" s="53"/>
      <c r="NCK28" s="28"/>
      <c r="NCM28" s="55"/>
      <c r="NCN28" s="53"/>
      <c r="NCR28" s="28"/>
      <c r="NCT28" s="55"/>
      <c r="NCU28" s="53"/>
      <c r="NCY28" s="28"/>
      <c r="NDA28" s="55"/>
      <c r="NDB28" s="53"/>
      <c r="NDF28" s="28"/>
      <c r="NDH28" s="55"/>
      <c r="NDI28" s="53"/>
      <c r="NDM28" s="28"/>
      <c r="NDO28" s="55"/>
      <c r="NDP28" s="53"/>
      <c r="NDT28" s="28"/>
      <c r="NDV28" s="55"/>
      <c r="NDW28" s="53"/>
      <c r="NEA28" s="28"/>
      <c r="NEC28" s="55"/>
      <c r="NED28" s="53"/>
      <c r="NEH28" s="28"/>
      <c r="NEJ28" s="55"/>
      <c r="NEK28" s="53"/>
      <c r="NEO28" s="28"/>
      <c r="NEQ28" s="55"/>
      <c r="NER28" s="53"/>
      <c r="NEV28" s="28"/>
      <c r="NEX28" s="55"/>
      <c r="NEY28" s="53"/>
      <c r="NFC28" s="28"/>
      <c r="NFE28" s="55"/>
      <c r="NFF28" s="53"/>
      <c r="NFJ28" s="28"/>
      <c r="NFL28" s="55"/>
      <c r="NFM28" s="53"/>
      <c r="NFQ28" s="28"/>
      <c r="NFS28" s="55"/>
      <c r="NFT28" s="53"/>
      <c r="NFX28" s="28"/>
      <c r="NFZ28" s="55"/>
      <c r="NGA28" s="53"/>
      <c r="NGE28" s="28"/>
      <c r="NGG28" s="55"/>
      <c r="NGH28" s="53"/>
      <c r="NGL28" s="28"/>
      <c r="NGN28" s="55"/>
      <c r="NGO28" s="53"/>
      <c r="NGS28" s="28"/>
      <c r="NGU28" s="55"/>
      <c r="NGV28" s="53"/>
      <c r="NGZ28" s="28"/>
      <c r="NHB28" s="55"/>
      <c r="NHC28" s="53"/>
      <c r="NHG28" s="28"/>
      <c r="NHI28" s="55"/>
      <c r="NHJ28" s="53"/>
      <c r="NHN28" s="28"/>
      <c r="NHP28" s="55"/>
      <c r="NHQ28" s="53"/>
      <c r="NHU28" s="28"/>
      <c r="NHW28" s="55"/>
      <c r="NHX28" s="53"/>
      <c r="NIB28" s="28"/>
      <c r="NID28" s="55"/>
      <c r="NIE28" s="53"/>
      <c r="NII28" s="28"/>
      <c r="NIK28" s="55"/>
      <c r="NIL28" s="53"/>
      <c r="NIP28" s="28"/>
      <c r="NIR28" s="55"/>
      <c r="NIS28" s="53"/>
      <c r="NIW28" s="28"/>
      <c r="NIY28" s="55"/>
      <c r="NIZ28" s="53"/>
      <c r="NJD28" s="28"/>
      <c r="NJF28" s="55"/>
      <c r="NJG28" s="53"/>
      <c r="NJK28" s="28"/>
      <c r="NJM28" s="55"/>
      <c r="NJN28" s="53"/>
      <c r="NJR28" s="28"/>
      <c r="NJT28" s="55"/>
      <c r="NJU28" s="53"/>
      <c r="NJY28" s="28"/>
      <c r="NKA28" s="55"/>
      <c r="NKB28" s="53"/>
      <c r="NKF28" s="28"/>
      <c r="NKH28" s="55"/>
      <c r="NKI28" s="53"/>
      <c r="NKM28" s="28"/>
      <c r="NKO28" s="55"/>
      <c r="NKP28" s="53"/>
      <c r="NKT28" s="28"/>
      <c r="NKV28" s="55"/>
      <c r="NKW28" s="53"/>
      <c r="NLA28" s="28"/>
      <c r="NLC28" s="55"/>
      <c r="NLD28" s="53"/>
      <c r="NLH28" s="28"/>
      <c r="NLJ28" s="55"/>
      <c r="NLK28" s="53"/>
      <c r="NLO28" s="28"/>
      <c r="NLQ28" s="55"/>
      <c r="NLR28" s="53"/>
      <c r="NLV28" s="28"/>
      <c r="NLX28" s="55"/>
      <c r="NLY28" s="53"/>
      <c r="NMC28" s="28"/>
      <c r="NME28" s="55"/>
      <c r="NMF28" s="53"/>
      <c r="NMJ28" s="28"/>
      <c r="NML28" s="55"/>
      <c r="NMM28" s="53"/>
      <c r="NMQ28" s="28"/>
      <c r="NMS28" s="55"/>
      <c r="NMT28" s="53"/>
      <c r="NMX28" s="28"/>
      <c r="NMZ28" s="55"/>
      <c r="NNA28" s="53"/>
      <c r="NNE28" s="28"/>
      <c r="NNG28" s="55"/>
      <c r="NNH28" s="53"/>
      <c r="NNL28" s="28"/>
      <c r="NNN28" s="55"/>
      <c r="NNO28" s="53"/>
      <c r="NNS28" s="28"/>
      <c r="NNU28" s="55"/>
      <c r="NNV28" s="53"/>
      <c r="NNZ28" s="28"/>
      <c r="NOB28" s="55"/>
      <c r="NOC28" s="53"/>
      <c r="NOG28" s="28"/>
      <c r="NOI28" s="55"/>
      <c r="NOJ28" s="53"/>
      <c r="NON28" s="28"/>
      <c r="NOP28" s="55"/>
      <c r="NOQ28" s="53"/>
      <c r="NOU28" s="28"/>
      <c r="NOW28" s="55"/>
      <c r="NOX28" s="53"/>
      <c r="NPB28" s="28"/>
      <c r="NPD28" s="55"/>
      <c r="NPE28" s="53"/>
      <c r="NPI28" s="28"/>
      <c r="NPK28" s="55"/>
      <c r="NPL28" s="53"/>
      <c r="NPP28" s="28"/>
      <c r="NPR28" s="55"/>
      <c r="NPS28" s="53"/>
      <c r="NPW28" s="28"/>
      <c r="NPY28" s="55"/>
      <c r="NPZ28" s="53"/>
      <c r="NQD28" s="28"/>
      <c r="NQF28" s="55"/>
      <c r="NQG28" s="53"/>
      <c r="NQK28" s="28"/>
      <c r="NQM28" s="55"/>
      <c r="NQN28" s="53"/>
      <c r="NQR28" s="28"/>
      <c r="NQT28" s="55"/>
      <c r="NQU28" s="53"/>
      <c r="NQY28" s="28"/>
      <c r="NRA28" s="55"/>
      <c r="NRB28" s="53"/>
      <c r="NRF28" s="28"/>
      <c r="NRH28" s="55"/>
      <c r="NRI28" s="53"/>
      <c r="NRM28" s="28"/>
      <c r="NRO28" s="55"/>
      <c r="NRP28" s="53"/>
      <c r="NRT28" s="28"/>
      <c r="NRV28" s="55"/>
      <c r="NRW28" s="53"/>
      <c r="NSA28" s="28"/>
      <c r="NSC28" s="55"/>
      <c r="NSD28" s="53"/>
      <c r="NSH28" s="28"/>
      <c r="NSJ28" s="55"/>
      <c r="NSK28" s="53"/>
      <c r="NSO28" s="28"/>
      <c r="NSQ28" s="55"/>
      <c r="NSR28" s="53"/>
      <c r="NSV28" s="28"/>
      <c r="NSX28" s="55"/>
      <c r="NSY28" s="53"/>
      <c r="NTC28" s="28"/>
      <c r="NTE28" s="55"/>
      <c r="NTF28" s="53"/>
      <c r="NTJ28" s="28"/>
      <c r="NTL28" s="55"/>
      <c r="NTM28" s="53"/>
      <c r="NTQ28" s="28"/>
      <c r="NTS28" s="55"/>
      <c r="NTT28" s="53"/>
      <c r="NTX28" s="28"/>
      <c r="NTZ28" s="55"/>
      <c r="NUA28" s="53"/>
      <c r="NUE28" s="28"/>
      <c r="NUG28" s="55"/>
      <c r="NUH28" s="53"/>
      <c r="NUL28" s="28"/>
      <c r="NUN28" s="55"/>
      <c r="NUO28" s="53"/>
      <c r="NUS28" s="28"/>
      <c r="NUU28" s="55"/>
      <c r="NUV28" s="53"/>
      <c r="NUZ28" s="28"/>
      <c r="NVB28" s="55"/>
      <c r="NVC28" s="53"/>
      <c r="NVG28" s="28"/>
      <c r="NVI28" s="55"/>
      <c r="NVJ28" s="53"/>
      <c r="NVN28" s="28"/>
      <c r="NVP28" s="55"/>
      <c r="NVQ28" s="53"/>
      <c r="NVU28" s="28"/>
      <c r="NVW28" s="55"/>
      <c r="NVX28" s="53"/>
      <c r="NWB28" s="28"/>
      <c r="NWD28" s="55"/>
      <c r="NWE28" s="53"/>
      <c r="NWI28" s="28"/>
      <c r="NWK28" s="55"/>
      <c r="NWL28" s="53"/>
      <c r="NWP28" s="28"/>
      <c r="NWR28" s="55"/>
      <c r="NWS28" s="53"/>
      <c r="NWW28" s="28"/>
      <c r="NWY28" s="55"/>
      <c r="NWZ28" s="53"/>
      <c r="NXD28" s="28"/>
      <c r="NXF28" s="55"/>
      <c r="NXG28" s="53"/>
      <c r="NXK28" s="28"/>
      <c r="NXM28" s="55"/>
      <c r="NXN28" s="53"/>
      <c r="NXR28" s="28"/>
      <c r="NXT28" s="55"/>
      <c r="NXU28" s="53"/>
      <c r="NXY28" s="28"/>
      <c r="NYA28" s="55"/>
      <c r="NYB28" s="53"/>
      <c r="NYF28" s="28"/>
      <c r="NYH28" s="55"/>
      <c r="NYI28" s="53"/>
      <c r="NYM28" s="28"/>
      <c r="NYO28" s="55"/>
      <c r="NYP28" s="53"/>
      <c r="NYT28" s="28"/>
      <c r="NYV28" s="55"/>
      <c r="NYW28" s="53"/>
      <c r="NZA28" s="28"/>
      <c r="NZC28" s="55"/>
      <c r="NZD28" s="53"/>
      <c r="NZH28" s="28"/>
      <c r="NZJ28" s="55"/>
      <c r="NZK28" s="53"/>
      <c r="NZO28" s="28"/>
      <c r="NZQ28" s="55"/>
      <c r="NZR28" s="53"/>
      <c r="NZV28" s="28"/>
      <c r="NZX28" s="55"/>
      <c r="NZY28" s="53"/>
      <c r="OAC28" s="28"/>
      <c r="OAE28" s="55"/>
      <c r="OAF28" s="53"/>
      <c r="OAJ28" s="28"/>
      <c r="OAL28" s="55"/>
      <c r="OAM28" s="53"/>
      <c r="OAQ28" s="28"/>
      <c r="OAS28" s="55"/>
      <c r="OAT28" s="53"/>
      <c r="OAX28" s="28"/>
      <c r="OAZ28" s="55"/>
      <c r="OBA28" s="53"/>
      <c r="OBE28" s="28"/>
      <c r="OBG28" s="55"/>
      <c r="OBH28" s="53"/>
      <c r="OBL28" s="28"/>
      <c r="OBN28" s="55"/>
      <c r="OBO28" s="53"/>
      <c r="OBS28" s="28"/>
      <c r="OBU28" s="55"/>
      <c r="OBV28" s="53"/>
      <c r="OBZ28" s="28"/>
      <c r="OCB28" s="55"/>
      <c r="OCC28" s="53"/>
      <c r="OCG28" s="28"/>
      <c r="OCI28" s="55"/>
      <c r="OCJ28" s="53"/>
      <c r="OCN28" s="28"/>
      <c r="OCP28" s="55"/>
      <c r="OCQ28" s="53"/>
      <c r="OCU28" s="28"/>
      <c r="OCW28" s="55"/>
      <c r="OCX28" s="53"/>
      <c r="ODB28" s="28"/>
      <c r="ODD28" s="55"/>
      <c r="ODE28" s="53"/>
      <c r="ODI28" s="28"/>
      <c r="ODK28" s="55"/>
      <c r="ODL28" s="53"/>
      <c r="ODP28" s="28"/>
      <c r="ODR28" s="55"/>
      <c r="ODS28" s="53"/>
      <c r="ODW28" s="28"/>
      <c r="ODY28" s="55"/>
      <c r="ODZ28" s="53"/>
      <c r="OED28" s="28"/>
      <c r="OEF28" s="55"/>
      <c r="OEG28" s="53"/>
      <c r="OEK28" s="28"/>
      <c r="OEM28" s="55"/>
      <c r="OEN28" s="53"/>
      <c r="OER28" s="28"/>
      <c r="OET28" s="55"/>
      <c r="OEU28" s="53"/>
      <c r="OEY28" s="28"/>
      <c r="OFA28" s="55"/>
      <c r="OFB28" s="53"/>
      <c r="OFF28" s="28"/>
      <c r="OFH28" s="55"/>
      <c r="OFI28" s="53"/>
      <c r="OFM28" s="28"/>
      <c r="OFO28" s="55"/>
      <c r="OFP28" s="53"/>
      <c r="OFT28" s="28"/>
      <c r="OFV28" s="55"/>
      <c r="OFW28" s="53"/>
      <c r="OGA28" s="28"/>
      <c r="OGC28" s="55"/>
      <c r="OGD28" s="53"/>
      <c r="OGH28" s="28"/>
      <c r="OGJ28" s="55"/>
      <c r="OGK28" s="53"/>
      <c r="OGO28" s="28"/>
      <c r="OGQ28" s="55"/>
      <c r="OGR28" s="53"/>
      <c r="OGV28" s="28"/>
      <c r="OGX28" s="55"/>
      <c r="OGY28" s="53"/>
      <c r="OHC28" s="28"/>
      <c r="OHE28" s="55"/>
      <c r="OHF28" s="53"/>
      <c r="OHJ28" s="28"/>
      <c r="OHL28" s="55"/>
      <c r="OHM28" s="53"/>
      <c r="OHQ28" s="28"/>
      <c r="OHS28" s="55"/>
      <c r="OHT28" s="53"/>
      <c r="OHX28" s="28"/>
      <c r="OHZ28" s="55"/>
      <c r="OIA28" s="53"/>
      <c r="OIE28" s="28"/>
      <c r="OIG28" s="55"/>
      <c r="OIH28" s="53"/>
      <c r="OIL28" s="28"/>
      <c r="OIN28" s="55"/>
      <c r="OIO28" s="53"/>
      <c r="OIS28" s="28"/>
      <c r="OIU28" s="55"/>
      <c r="OIV28" s="53"/>
      <c r="OIZ28" s="28"/>
      <c r="OJB28" s="55"/>
      <c r="OJC28" s="53"/>
      <c r="OJG28" s="28"/>
      <c r="OJI28" s="55"/>
      <c r="OJJ28" s="53"/>
      <c r="OJN28" s="28"/>
      <c r="OJP28" s="55"/>
      <c r="OJQ28" s="53"/>
      <c r="OJU28" s="28"/>
      <c r="OJW28" s="55"/>
      <c r="OJX28" s="53"/>
      <c r="OKB28" s="28"/>
      <c r="OKD28" s="55"/>
      <c r="OKE28" s="53"/>
      <c r="OKI28" s="28"/>
      <c r="OKK28" s="55"/>
      <c r="OKL28" s="53"/>
      <c r="OKP28" s="28"/>
      <c r="OKR28" s="55"/>
      <c r="OKS28" s="53"/>
      <c r="OKW28" s="28"/>
      <c r="OKY28" s="55"/>
      <c r="OKZ28" s="53"/>
      <c r="OLD28" s="28"/>
      <c r="OLF28" s="55"/>
      <c r="OLG28" s="53"/>
      <c r="OLK28" s="28"/>
      <c r="OLM28" s="55"/>
      <c r="OLN28" s="53"/>
      <c r="OLR28" s="28"/>
      <c r="OLT28" s="55"/>
      <c r="OLU28" s="53"/>
      <c r="OLY28" s="28"/>
      <c r="OMA28" s="55"/>
      <c r="OMB28" s="53"/>
      <c r="OMF28" s="28"/>
      <c r="OMH28" s="55"/>
      <c r="OMI28" s="53"/>
      <c r="OMM28" s="28"/>
      <c r="OMO28" s="55"/>
      <c r="OMP28" s="53"/>
      <c r="OMT28" s="28"/>
      <c r="OMV28" s="55"/>
      <c r="OMW28" s="53"/>
      <c r="ONA28" s="28"/>
      <c r="ONC28" s="55"/>
      <c r="OND28" s="53"/>
      <c r="ONH28" s="28"/>
      <c r="ONJ28" s="55"/>
      <c r="ONK28" s="53"/>
      <c r="ONO28" s="28"/>
      <c r="ONQ28" s="55"/>
      <c r="ONR28" s="53"/>
      <c r="ONV28" s="28"/>
      <c r="ONX28" s="55"/>
      <c r="ONY28" s="53"/>
      <c r="OOC28" s="28"/>
      <c r="OOE28" s="55"/>
      <c r="OOF28" s="53"/>
      <c r="OOJ28" s="28"/>
      <c r="OOL28" s="55"/>
      <c r="OOM28" s="53"/>
      <c r="OOQ28" s="28"/>
      <c r="OOS28" s="55"/>
      <c r="OOT28" s="53"/>
      <c r="OOX28" s="28"/>
      <c r="OOZ28" s="55"/>
      <c r="OPA28" s="53"/>
      <c r="OPE28" s="28"/>
      <c r="OPG28" s="55"/>
      <c r="OPH28" s="53"/>
      <c r="OPL28" s="28"/>
      <c r="OPN28" s="55"/>
      <c r="OPO28" s="53"/>
      <c r="OPS28" s="28"/>
      <c r="OPU28" s="55"/>
      <c r="OPV28" s="53"/>
      <c r="OPZ28" s="28"/>
      <c r="OQB28" s="55"/>
      <c r="OQC28" s="53"/>
      <c r="OQG28" s="28"/>
      <c r="OQI28" s="55"/>
      <c r="OQJ28" s="53"/>
      <c r="OQN28" s="28"/>
      <c r="OQP28" s="55"/>
      <c r="OQQ28" s="53"/>
      <c r="OQU28" s="28"/>
      <c r="OQW28" s="55"/>
      <c r="OQX28" s="53"/>
      <c r="ORB28" s="28"/>
      <c r="ORD28" s="55"/>
      <c r="ORE28" s="53"/>
      <c r="ORI28" s="28"/>
      <c r="ORK28" s="55"/>
      <c r="ORL28" s="53"/>
      <c r="ORP28" s="28"/>
      <c r="ORR28" s="55"/>
      <c r="ORS28" s="53"/>
      <c r="ORW28" s="28"/>
      <c r="ORY28" s="55"/>
      <c r="ORZ28" s="53"/>
      <c r="OSD28" s="28"/>
      <c r="OSF28" s="55"/>
      <c r="OSG28" s="53"/>
      <c r="OSK28" s="28"/>
      <c r="OSM28" s="55"/>
      <c r="OSN28" s="53"/>
      <c r="OSR28" s="28"/>
      <c r="OST28" s="55"/>
      <c r="OSU28" s="53"/>
      <c r="OSY28" s="28"/>
      <c r="OTA28" s="55"/>
      <c r="OTB28" s="53"/>
      <c r="OTF28" s="28"/>
      <c r="OTH28" s="55"/>
      <c r="OTI28" s="53"/>
      <c r="OTM28" s="28"/>
      <c r="OTO28" s="55"/>
      <c r="OTP28" s="53"/>
      <c r="OTT28" s="28"/>
      <c r="OTV28" s="55"/>
      <c r="OTW28" s="53"/>
      <c r="OUA28" s="28"/>
      <c r="OUC28" s="55"/>
      <c r="OUD28" s="53"/>
      <c r="OUH28" s="28"/>
      <c r="OUJ28" s="55"/>
      <c r="OUK28" s="53"/>
      <c r="OUO28" s="28"/>
      <c r="OUQ28" s="55"/>
      <c r="OUR28" s="53"/>
      <c r="OUV28" s="28"/>
      <c r="OUX28" s="55"/>
      <c r="OUY28" s="53"/>
      <c r="OVC28" s="28"/>
      <c r="OVE28" s="55"/>
      <c r="OVF28" s="53"/>
      <c r="OVJ28" s="28"/>
      <c r="OVL28" s="55"/>
      <c r="OVM28" s="53"/>
      <c r="OVQ28" s="28"/>
      <c r="OVS28" s="55"/>
      <c r="OVT28" s="53"/>
      <c r="OVX28" s="28"/>
      <c r="OVZ28" s="55"/>
      <c r="OWA28" s="53"/>
      <c r="OWE28" s="28"/>
      <c r="OWG28" s="55"/>
      <c r="OWH28" s="53"/>
      <c r="OWL28" s="28"/>
      <c r="OWN28" s="55"/>
      <c r="OWO28" s="53"/>
      <c r="OWS28" s="28"/>
      <c r="OWU28" s="55"/>
      <c r="OWV28" s="53"/>
      <c r="OWZ28" s="28"/>
      <c r="OXB28" s="55"/>
      <c r="OXC28" s="53"/>
      <c r="OXG28" s="28"/>
      <c r="OXI28" s="55"/>
      <c r="OXJ28" s="53"/>
      <c r="OXN28" s="28"/>
      <c r="OXP28" s="55"/>
      <c r="OXQ28" s="53"/>
      <c r="OXU28" s="28"/>
      <c r="OXW28" s="55"/>
      <c r="OXX28" s="53"/>
      <c r="OYB28" s="28"/>
      <c r="OYD28" s="55"/>
      <c r="OYE28" s="53"/>
      <c r="OYI28" s="28"/>
      <c r="OYK28" s="55"/>
      <c r="OYL28" s="53"/>
      <c r="OYP28" s="28"/>
      <c r="OYR28" s="55"/>
      <c r="OYS28" s="53"/>
      <c r="OYW28" s="28"/>
      <c r="OYY28" s="55"/>
      <c r="OYZ28" s="53"/>
      <c r="OZD28" s="28"/>
      <c r="OZF28" s="55"/>
      <c r="OZG28" s="53"/>
      <c r="OZK28" s="28"/>
      <c r="OZM28" s="55"/>
      <c r="OZN28" s="53"/>
      <c r="OZR28" s="28"/>
      <c r="OZT28" s="55"/>
      <c r="OZU28" s="53"/>
      <c r="OZY28" s="28"/>
      <c r="PAA28" s="55"/>
      <c r="PAB28" s="53"/>
      <c r="PAF28" s="28"/>
      <c r="PAH28" s="55"/>
      <c r="PAI28" s="53"/>
      <c r="PAM28" s="28"/>
      <c r="PAO28" s="55"/>
      <c r="PAP28" s="53"/>
      <c r="PAT28" s="28"/>
      <c r="PAV28" s="55"/>
      <c r="PAW28" s="53"/>
      <c r="PBA28" s="28"/>
      <c r="PBC28" s="55"/>
      <c r="PBD28" s="53"/>
      <c r="PBH28" s="28"/>
      <c r="PBJ28" s="55"/>
      <c r="PBK28" s="53"/>
      <c r="PBO28" s="28"/>
      <c r="PBQ28" s="55"/>
      <c r="PBR28" s="53"/>
      <c r="PBV28" s="28"/>
      <c r="PBX28" s="55"/>
      <c r="PBY28" s="53"/>
      <c r="PCC28" s="28"/>
      <c r="PCE28" s="55"/>
      <c r="PCF28" s="53"/>
      <c r="PCJ28" s="28"/>
      <c r="PCL28" s="55"/>
      <c r="PCM28" s="53"/>
      <c r="PCQ28" s="28"/>
      <c r="PCS28" s="55"/>
      <c r="PCT28" s="53"/>
      <c r="PCX28" s="28"/>
      <c r="PCZ28" s="55"/>
      <c r="PDA28" s="53"/>
      <c r="PDE28" s="28"/>
      <c r="PDG28" s="55"/>
      <c r="PDH28" s="53"/>
      <c r="PDL28" s="28"/>
      <c r="PDN28" s="55"/>
      <c r="PDO28" s="53"/>
      <c r="PDS28" s="28"/>
      <c r="PDU28" s="55"/>
      <c r="PDV28" s="53"/>
      <c r="PDZ28" s="28"/>
      <c r="PEB28" s="55"/>
      <c r="PEC28" s="53"/>
      <c r="PEG28" s="28"/>
      <c r="PEI28" s="55"/>
      <c r="PEJ28" s="53"/>
      <c r="PEN28" s="28"/>
      <c r="PEP28" s="55"/>
      <c r="PEQ28" s="53"/>
      <c r="PEU28" s="28"/>
      <c r="PEW28" s="55"/>
      <c r="PEX28" s="53"/>
      <c r="PFB28" s="28"/>
      <c r="PFD28" s="55"/>
      <c r="PFE28" s="53"/>
      <c r="PFI28" s="28"/>
      <c r="PFK28" s="55"/>
      <c r="PFL28" s="53"/>
      <c r="PFP28" s="28"/>
      <c r="PFR28" s="55"/>
      <c r="PFS28" s="53"/>
      <c r="PFW28" s="28"/>
      <c r="PFY28" s="55"/>
      <c r="PFZ28" s="53"/>
      <c r="PGD28" s="28"/>
      <c r="PGF28" s="55"/>
      <c r="PGG28" s="53"/>
      <c r="PGK28" s="28"/>
      <c r="PGM28" s="55"/>
      <c r="PGN28" s="53"/>
      <c r="PGR28" s="28"/>
      <c r="PGT28" s="55"/>
      <c r="PGU28" s="53"/>
      <c r="PGY28" s="28"/>
      <c r="PHA28" s="55"/>
      <c r="PHB28" s="53"/>
      <c r="PHF28" s="28"/>
      <c r="PHH28" s="55"/>
      <c r="PHI28" s="53"/>
      <c r="PHM28" s="28"/>
      <c r="PHO28" s="55"/>
      <c r="PHP28" s="53"/>
      <c r="PHT28" s="28"/>
      <c r="PHV28" s="55"/>
      <c r="PHW28" s="53"/>
      <c r="PIA28" s="28"/>
      <c r="PIC28" s="55"/>
      <c r="PID28" s="53"/>
      <c r="PIH28" s="28"/>
      <c r="PIJ28" s="55"/>
      <c r="PIK28" s="53"/>
      <c r="PIO28" s="28"/>
      <c r="PIQ28" s="55"/>
      <c r="PIR28" s="53"/>
      <c r="PIV28" s="28"/>
      <c r="PIX28" s="55"/>
      <c r="PIY28" s="53"/>
      <c r="PJC28" s="28"/>
      <c r="PJE28" s="55"/>
      <c r="PJF28" s="53"/>
      <c r="PJJ28" s="28"/>
      <c r="PJL28" s="55"/>
      <c r="PJM28" s="53"/>
      <c r="PJQ28" s="28"/>
      <c r="PJS28" s="55"/>
      <c r="PJT28" s="53"/>
      <c r="PJX28" s="28"/>
      <c r="PJZ28" s="55"/>
      <c r="PKA28" s="53"/>
      <c r="PKE28" s="28"/>
      <c r="PKG28" s="55"/>
      <c r="PKH28" s="53"/>
      <c r="PKL28" s="28"/>
      <c r="PKN28" s="55"/>
      <c r="PKO28" s="53"/>
      <c r="PKS28" s="28"/>
      <c r="PKU28" s="55"/>
      <c r="PKV28" s="53"/>
      <c r="PKZ28" s="28"/>
      <c r="PLB28" s="55"/>
      <c r="PLC28" s="53"/>
      <c r="PLG28" s="28"/>
      <c r="PLI28" s="55"/>
      <c r="PLJ28" s="53"/>
      <c r="PLN28" s="28"/>
      <c r="PLP28" s="55"/>
      <c r="PLQ28" s="53"/>
      <c r="PLU28" s="28"/>
      <c r="PLW28" s="55"/>
      <c r="PLX28" s="53"/>
      <c r="PMB28" s="28"/>
      <c r="PMD28" s="55"/>
      <c r="PME28" s="53"/>
      <c r="PMI28" s="28"/>
      <c r="PMK28" s="55"/>
      <c r="PML28" s="53"/>
      <c r="PMP28" s="28"/>
      <c r="PMR28" s="55"/>
      <c r="PMS28" s="53"/>
      <c r="PMW28" s="28"/>
      <c r="PMY28" s="55"/>
      <c r="PMZ28" s="53"/>
      <c r="PND28" s="28"/>
      <c r="PNF28" s="55"/>
      <c r="PNG28" s="53"/>
      <c r="PNK28" s="28"/>
      <c r="PNM28" s="55"/>
      <c r="PNN28" s="53"/>
      <c r="PNR28" s="28"/>
      <c r="PNT28" s="55"/>
      <c r="PNU28" s="53"/>
      <c r="PNY28" s="28"/>
      <c r="POA28" s="55"/>
      <c r="POB28" s="53"/>
      <c r="POF28" s="28"/>
      <c r="POH28" s="55"/>
      <c r="POI28" s="53"/>
      <c r="POM28" s="28"/>
      <c r="POO28" s="55"/>
      <c r="POP28" s="53"/>
      <c r="POT28" s="28"/>
      <c r="POV28" s="55"/>
      <c r="POW28" s="53"/>
      <c r="PPA28" s="28"/>
      <c r="PPC28" s="55"/>
      <c r="PPD28" s="53"/>
      <c r="PPH28" s="28"/>
      <c r="PPJ28" s="55"/>
      <c r="PPK28" s="53"/>
      <c r="PPO28" s="28"/>
      <c r="PPQ28" s="55"/>
      <c r="PPR28" s="53"/>
      <c r="PPV28" s="28"/>
      <c r="PPX28" s="55"/>
      <c r="PPY28" s="53"/>
      <c r="PQC28" s="28"/>
      <c r="PQE28" s="55"/>
      <c r="PQF28" s="53"/>
      <c r="PQJ28" s="28"/>
      <c r="PQL28" s="55"/>
      <c r="PQM28" s="53"/>
      <c r="PQQ28" s="28"/>
      <c r="PQS28" s="55"/>
      <c r="PQT28" s="53"/>
      <c r="PQX28" s="28"/>
      <c r="PQZ28" s="55"/>
      <c r="PRA28" s="53"/>
      <c r="PRE28" s="28"/>
      <c r="PRG28" s="55"/>
      <c r="PRH28" s="53"/>
      <c r="PRL28" s="28"/>
      <c r="PRN28" s="55"/>
      <c r="PRO28" s="53"/>
      <c r="PRS28" s="28"/>
      <c r="PRU28" s="55"/>
      <c r="PRV28" s="53"/>
      <c r="PRZ28" s="28"/>
      <c r="PSB28" s="55"/>
      <c r="PSC28" s="53"/>
      <c r="PSG28" s="28"/>
      <c r="PSI28" s="55"/>
      <c r="PSJ28" s="53"/>
      <c r="PSN28" s="28"/>
      <c r="PSP28" s="55"/>
      <c r="PSQ28" s="53"/>
      <c r="PSU28" s="28"/>
      <c r="PSW28" s="55"/>
      <c r="PSX28" s="53"/>
      <c r="PTB28" s="28"/>
      <c r="PTD28" s="55"/>
      <c r="PTE28" s="53"/>
      <c r="PTI28" s="28"/>
      <c r="PTK28" s="55"/>
      <c r="PTL28" s="53"/>
      <c r="PTP28" s="28"/>
      <c r="PTR28" s="55"/>
      <c r="PTS28" s="53"/>
      <c r="PTW28" s="28"/>
      <c r="PTY28" s="55"/>
      <c r="PTZ28" s="53"/>
      <c r="PUD28" s="28"/>
      <c r="PUF28" s="55"/>
      <c r="PUG28" s="53"/>
      <c r="PUK28" s="28"/>
      <c r="PUM28" s="55"/>
      <c r="PUN28" s="53"/>
      <c r="PUR28" s="28"/>
      <c r="PUT28" s="55"/>
      <c r="PUU28" s="53"/>
      <c r="PUY28" s="28"/>
      <c r="PVA28" s="55"/>
      <c r="PVB28" s="53"/>
      <c r="PVF28" s="28"/>
      <c r="PVH28" s="55"/>
      <c r="PVI28" s="53"/>
      <c r="PVM28" s="28"/>
      <c r="PVO28" s="55"/>
      <c r="PVP28" s="53"/>
      <c r="PVT28" s="28"/>
      <c r="PVV28" s="55"/>
      <c r="PVW28" s="53"/>
      <c r="PWA28" s="28"/>
      <c r="PWC28" s="55"/>
      <c r="PWD28" s="53"/>
      <c r="PWH28" s="28"/>
      <c r="PWJ28" s="55"/>
      <c r="PWK28" s="53"/>
      <c r="PWO28" s="28"/>
      <c r="PWQ28" s="55"/>
      <c r="PWR28" s="53"/>
      <c r="PWV28" s="28"/>
      <c r="PWX28" s="55"/>
      <c r="PWY28" s="53"/>
      <c r="PXC28" s="28"/>
      <c r="PXE28" s="55"/>
      <c r="PXF28" s="53"/>
      <c r="PXJ28" s="28"/>
      <c r="PXL28" s="55"/>
      <c r="PXM28" s="53"/>
      <c r="PXQ28" s="28"/>
      <c r="PXS28" s="55"/>
      <c r="PXT28" s="53"/>
      <c r="PXX28" s="28"/>
      <c r="PXZ28" s="55"/>
      <c r="PYA28" s="53"/>
      <c r="PYE28" s="28"/>
      <c r="PYG28" s="55"/>
      <c r="PYH28" s="53"/>
      <c r="PYL28" s="28"/>
      <c r="PYN28" s="55"/>
      <c r="PYO28" s="53"/>
      <c r="PYS28" s="28"/>
      <c r="PYU28" s="55"/>
      <c r="PYV28" s="53"/>
      <c r="PYZ28" s="28"/>
      <c r="PZB28" s="55"/>
      <c r="PZC28" s="53"/>
      <c r="PZG28" s="28"/>
      <c r="PZI28" s="55"/>
      <c r="PZJ28" s="53"/>
      <c r="PZN28" s="28"/>
      <c r="PZP28" s="55"/>
      <c r="PZQ28" s="53"/>
      <c r="PZU28" s="28"/>
      <c r="PZW28" s="55"/>
      <c r="PZX28" s="53"/>
      <c r="QAB28" s="28"/>
      <c r="QAD28" s="55"/>
      <c r="QAE28" s="53"/>
      <c r="QAI28" s="28"/>
      <c r="QAK28" s="55"/>
      <c r="QAL28" s="53"/>
      <c r="QAP28" s="28"/>
      <c r="QAR28" s="55"/>
      <c r="QAS28" s="53"/>
      <c r="QAW28" s="28"/>
      <c r="QAY28" s="55"/>
      <c r="QAZ28" s="53"/>
      <c r="QBD28" s="28"/>
      <c r="QBF28" s="55"/>
      <c r="QBG28" s="53"/>
      <c r="QBK28" s="28"/>
      <c r="QBM28" s="55"/>
      <c r="QBN28" s="53"/>
      <c r="QBR28" s="28"/>
      <c r="QBT28" s="55"/>
      <c r="QBU28" s="53"/>
      <c r="QBY28" s="28"/>
      <c r="QCA28" s="55"/>
      <c r="QCB28" s="53"/>
      <c r="QCF28" s="28"/>
      <c r="QCH28" s="55"/>
      <c r="QCI28" s="53"/>
      <c r="QCM28" s="28"/>
      <c r="QCO28" s="55"/>
      <c r="QCP28" s="53"/>
      <c r="QCT28" s="28"/>
      <c r="QCV28" s="55"/>
      <c r="QCW28" s="53"/>
      <c r="QDA28" s="28"/>
      <c r="QDC28" s="55"/>
      <c r="QDD28" s="53"/>
      <c r="QDH28" s="28"/>
      <c r="QDJ28" s="55"/>
      <c r="QDK28" s="53"/>
      <c r="QDO28" s="28"/>
      <c r="QDQ28" s="55"/>
      <c r="QDR28" s="53"/>
      <c r="QDV28" s="28"/>
      <c r="QDX28" s="55"/>
      <c r="QDY28" s="53"/>
      <c r="QEC28" s="28"/>
      <c r="QEE28" s="55"/>
      <c r="QEF28" s="53"/>
      <c r="QEJ28" s="28"/>
      <c r="QEL28" s="55"/>
      <c r="QEM28" s="53"/>
      <c r="QEQ28" s="28"/>
      <c r="QES28" s="55"/>
      <c r="QET28" s="53"/>
      <c r="QEX28" s="28"/>
      <c r="QEZ28" s="55"/>
      <c r="QFA28" s="53"/>
      <c r="QFE28" s="28"/>
      <c r="QFG28" s="55"/>
      <c r="QFH28" s="53"/>
      <c r="QFL28" s="28"/>
      <c r="QFN28" s="55"/>
      <c r="QFO28" s="53"/>
      <c r="QFS28" s="28"/>
      <c r="QFU28" s="55"/>
      <c r="QFV28" s="53"/>
      <c r="QFZ28" s="28"/>
      <c r="QGB28" s="55"/>
      <c r="QGC28" s="53"/>
      <c r="QGG28" s="28"/>
      <c r="QGI28" s="55"/>
      <c r="QGJ28" s="53"/>
      <c r="QGN28" s="28"/>
      <c r="QGP28" s="55"/>
      <c r="QGQ28" s="53"/>
      <c r="QGU28" s="28"/>
      <c r="QGW28" s="55"/>
      <c r="QGX28" s="53"/>
      <c r="QHB28" s="28"/>
      <c r="QHD28" s="55"/>
      <c r="QHE28" s="53"/>
      <c r="QHI28" s="28"/>
      <c r="QHK28" s="55"/>
      <c r="QHL28" s="53"/>
      <c r="QHP28" s="28"/>
      <c r="QHR28" s="55"/>
      <c r="QHS28" s="53"/>
      <c r="QHW28" s="28"/>
      <c r="QHY28" s="55"/>
      <c r="QHZ28" s="53"/>
      <c r="QID28" s="28"/>
      <c r="QIF28" s="55"/>
      <c r="QIG28" s="53"/>
      <c r="QIK28" s="28"/>
      <c r="QIM28" s="55"/>
      <c r="QIN28" s="53"/>
      <c r="QIR28" s="28"/>
      <c r="QIT28" s="55"/>
      <c r="QIU28" s="53"/>
      <c r="QIY28" s="28"/>
      <c r="QJA28" s="55"/>
      <c r="QJB28" s="53"/>
      <c r="QJF28" s="28"/>
      <c r="QJH28" s="55"/>
      <c r="QJI28" s="53"/>
      <c r="QJM28" s="28"/>
      <c r="QJO28" s="55"/>
      <c r="QJP28" s="53"/>
      <c r="QJT28" s="28"/>
      <c r="QJV28" s="55"/>
      <c r="QJW28" s="53"/>
      <c r="QKA28" s="28"/>
      <c r="QKC28" s="55"/>
      <c r="QKD28" s="53"/>
      <c r="QKH28" s="28"/>
      <c r="QKJ28" s="55"/>
      <c r="QKK28" s="53"/>
      <c r="QKO28" s="28"/>
      <c r="QKQ28" s="55"/>
      <c r="QKR28" s="53"/>
      <c r="QKV28" s="28"/>
      <c r="QKX28" s="55"/>
      <c r="QKY28" s="53"/>
      <c r="QLC28" s="28"/>
      <c r="QLE28" s="55"/>
      <c r="QLF28" s="53"/>
      <c r="QLJ28" s="28"/>
      <c r="QLL28" s="55"/>
      <c r="QLM28" s="53"/>
      <c r="QLQ28" s="28"/>
      <c r="QLS28" s="55"/>
      <c r="QLT28" s="53"/>
      <c r="QLX28" s="28"/>
      <c r="QLZ28" s="55"/>
      <c r="QMA28" s="53"/>
      <c r="QME28" s="28"/>
      <c r="QMG28" s="55"/>
      <c r="QMH28" s="53"/>
      <c r="QML28" s="28"/>
      <c r="QMN28" s="55"/>
      <c r="QMO28" s="53"/>
      <c r="QMS28" s="28"/>
      <c r="QMU28" s="55"/>
      <c r="QMV28" s="53"/>
      <c r="QMZ28" s="28"/>
      <c r="QNB28" s="55"/>
      <c r="QNC28" s="53"/>
      <c r="QNG28" s="28"/>
      <c r="QNI28" s="55"/>
      <c r="QNJ28" s="53"/>
      <c r="QNN28" s="28"/>
      <c r="QNP28" s="55"/>
      <c r="QNQ28" s="53"/>
      <c r="QNU28" s="28"/>
      <c r="QNW28" s="55"/>
      <c r="QNX28" s="53"/>
      <c r="QOB28" s="28"/>
      <c r="QOD28" s="55"/>
      <c r="QOE28" s="53"/>
      <c r="QOI28" s="28"/>
      <c r="QOK28" s="55"/>
      <c r="QOL28" s="53"/>
      <c r="QOP28" s="28"/>
      <c r="QOR28" s="55"/>
      <c r="QOS28" s="53"/>
      <c r="QOW28" s="28"/>
      <c r="QOY28" s="55"/>
      <c r="QOZ28" s="53"/>
      <c r="QPD28" s="28"/>
      <c r="QPF28" s="55"/>
      <c r="QPG28" s="53"/>
      <c r="QPK28" s="28"/>
      <c r="QPM28" s="55"/>
      <c r="QPN28" s="53"/>
      <c r="QPR28" s="28"/>
      <c r="QPT28" s="55"/>
      <c r="QPU28" s="53"/>
      <c r="QPY28" s="28"/>
      <c r="QQA28" s="55"/>
      <c r="QQB28" s="53"/>
      <c r="QQF28" s="28"/>
      <c r="QQH28" s="55"/>
      <c r="QQI28" s="53"/>
      <c r="QQM28" s="28"/>
      <c r="QQO28" s="55"/>
      <c r="QQP28" s="53"/>
      <c r="QQT28" s="28"/>
      <c r="QQV28" s="55"/>
      <c r="QQW28" s="53"/>
      <c r="QRA28" s="28"/>
      <c r="QRC28" s="55"/>
      <c r="QRD28" s="53"/>
      <c r="QRH28" s="28"/>
      <c r="QRJ28" s="55"/>
      <c r="QRK28" s="53"/>
      <c r="QRO28" s="28"/>
      <c r="QRQ28" s="55"/>
      <c r="QRR28" s="53"/>
      <c r="QRV28" s="28"/>
      <c r="QRX28" s="55"/>
      <c r="QRY28" s="53"/>
      <c r="QSC28" s="28"/>
      <c r="QSE28" s="55"/>
      <c r="QSF28" s="53"/>
      <c r="QSJ28" s="28"/>
      <c r="QSL28" s="55"/>
      <c r="QSM28" s="53"/>
      <c r="QSQ28" s="28"/>
      <c r="QSS28" s="55"/>
      <c r="QST28" s="53"/>
      <c r="QSX28" s="28"/>
      <c r="QSZ28" s="55"/>
      <c r="QTA28" s="53"/>
      <c r="QTE28" s="28"/>
      <c r="QTG28" s="55"/>
      <c r="QTH28" s="53"/>
      <c r="QTL28" s="28"/>
      <c r="QTN28" s="55"/>
      <c r="QTO28" s="53"/>
      <c r="QTS28" s="28"/>
      <c r="QTU28" s="55"/>
      <c r="QTV28" s="53"/>
      <c r="QTZ28" s="28"/>
      <c r="QUB28" s="55"/>
      <c r="QUC28" s="53"/>
      <c r="QUG28" s="28"/>
      <c r="QUI28" s="55"/>
      <c r="QUJ28" s="53"/>
      <c r="QUN28" s="28"/>
      <c r="QUP28" s="55"/>
      <c r="QUQ28" s="53"/>
      <c r="QUU28" s="28"/>
      <c r="QUW28" s="55"/>
      <c r="QUX28" s="53"/>
      <c r="QVB28" s="28"/>
      <c r="QVD28" s="55"/>
      <c r="QVE28" s="53"/>
      <c r="QVI28" s="28"/>
      <c r="QVK28" s="55"/>
      <c r="QVL28" s="53"/>
      <c r="QVP28" s="28"/>
      <c r="QVR28" s="55"/>
      <c r="QVS28" s="53"/>
      <c r="QVW28" s="28"/>
      <c r="QVY28" s="55"/>
      <c r="QVZ28" s="53"/>
      <c r="QWD28" s="28"/>
      <c r="QWF28" s="55"/>
      <c r="QWG28" s="53"/>
      <c r="QWK28" s="28"/>
      <c r="QWM28" s="55"/>
      <c r="QWN28" s="53"/>
      <c r="QWR28" s="28"/>
      <c r="QWT28" s="55"/>
      <c r="QWU28" s="53"/>
      <c r="QWY28" s="28"/>
      <c r="QXA28" s="55"/>
      <c r="QXB28" s="53"/>
      <c r="QXF28" s="28"/>
      <c r="QXH28" s="55"/>
      <c r="QXI28" s="53"/>
      <c r="QXM28" s="28"/>
      <c r="QXO28" s="55"/>
      <c r="QXP28" s="53"/>
      <c r="QXT28" s="28"/>
      <c r="QXV28" s="55"/>
      <c r="QXW28" s="53"/>
      <c r="QYA28" s="28"/>
      <c r="QYC28" s="55"/>
      <c r="QYD28" s="53"/>
      <c r="QYH28" s="28"/>
      <c r="QYJ28" s="55"/>
      <c r="QYK28" s="53"/>
      <c r="QYO28" s="28"/>
      <c r="QYQ28" s="55"/>
      <c r="QYR28" s="53"/>
      <c r="QYV28" s="28"/>
      <c r="QYX28" s="55"/>
      <c r="QYY28" s="53"/>
      <c r="QZC28" s="28"/>
      <c r="QZE28" s="55"/>
      <c r="QZF28" s="53"/>
      <c r="QZJ28" s="28"/>
      <c r="QZL28" s="55"/>
      <c r="QZM28" s="53"/>
      <c r="QZQ28" s="28"/>
      <c r="QZS28" s="55"/>
      <c r="QZT28" s="53"/>
      <c r="QZX28" s="28"/>
      <c r="QZZ28" s="55"/>
      <c r="RAA28" s="53"/>
      <c r="RAE28" s="28"/>
      <c r="RAG28" s="55"/>
      <c r="RAH28" s="53"/>
      <c r="RAL28" s="28"/>
      <c r="RAN28" s="55"/>
      <c r="RAO28" s="53"/>
      <c r="RAS28" s="28"/>
      <c r="RAU28" s="55"/>
      <c r="RAV28" s="53"/>
      <c r="RAZ28" s="28"/>
      <c r="RBB28" s="55"/>
      <c r="RBC28" s="53"/>
      <c r="RBG28" s="28"/>
      <c r="RBI28" s="55"/>
      <c r="RBJ28" s="53"/>
      <c r="RBN28" s="28"/>
      <c r="RBP28" s="55"/>
      <c r="RBQ28" s="53"/>
      <c r="RBU28" s="28"/>
      <c r="RBW28" s="55"/>
      <c r="RBX28" s="53"/>
      <c r="RCB28" s="28"/>
      <c r="RCD28" s="55"/>
      <c r="RCE28" s="53"/>
      <c r="RCI28" s="28"/>
      <c r="RCK28" s="55"/>
      <c r="RCL28" s="53"/>
      <c r="RCP28" s="28"/>
      <c r="RCR28" s="55"/>
      <c r="RCS28" s="53"/>
      <c r="RCW28" s="28"/>
      <c r="RCY28" s="55"/>
      <c r="RCZ28" s="53"/>
      <c r="RDD28" s="28"/>
      <c r="RDF28" s="55"/>
      <c r="RDG28" s="53"/>
      <c r="RDK28" s="28"/>
      <c r="RDM28" s="55"/>
      <c r="RDN28" s="53"/>
      <c r="RDR28" s="28"/>
      <c r="RDT28" s="55"/>
      <c r="RDU28" s="53"/>
      <c r="RDY28" s="28"/>
      <c r="REA28" s="55"/>
      <c r="REB28" s="53"/>
      <c r="REF28" s="28"/>
      <c r="REH28" s="55"/>
      <c r="REI28" s="53"/>
      <c r="REM28" s="28"/>
      <c r="REO28" s="55"/>
      <c r="REP28" s="53"/>
      <c r="RET28" s="28"/>
      <c r="REV28" s="55"/>
      <c r="REW28" s="53"/>
      <c r="RFA28" s="28"/>
      <c r="RFC28" s="55"/>
      <c r="RFD28" s="53"/>
      <c r="RFH28" s="28"/>
      <c r="RFJ28" s="55"/>
      <c r="RFK28" s="53"/>
      <c r="RFO28" s="28"/>
      <c r="RFQ28" s="55"/>
      <c r="RFR28" s="53"/>
      <c r="RFV28" s="28"/>
      <c r="RFX28" s="55"/>
      <c r="RFY28" s="53"/>
      <c r="RGC28" s="28"/>
      <c r="RGE28" s="55"/>
      <c r="RGF28" s="53"/>
      <c r="RGJ28" s="28"/>
      <c r="RGL28" s="55"/>
      <c r="RGM28" s="53"/>
      <c r="RGQ28" s="28"/>
      <c r="RGS28" s="55"/>
      <c r="RGT28" s="53"/>
      <c r="RGX28" s="28"/>
      <c r="RGZ28" s="55"/>
      <c r="RHA28" s="53"/>
      <c r="RHE28" s="28"/>
      <c r="RHG28" s="55"/>
      <c r="RHH28" s="53"/>
      <c r="RHL28" s="28"/>
      <c r="RHN28" s="55"/>
      <c r="RHO28" s="53"/>
      <c r="RHS28" s="28"/>
      <c r="RHU28" s="55"/>
      <c r="RHV28" s="53"/>
      <c r="RHZ28" s="28"/>
      <c r="RIB28" s="55"/>
      <c r="RIC28" s="53"/>
      <c r="RIG28" s="28"/>
      <c r="RII28" s="55"/>
      <c r="RIJ28" s="53"/>
      <c r="RIN28" s="28"/>
      <c r="RIP28" s="55"/>
      <c r="RIQ28" s="53"/>
      <c r="RIU28" s="28"/>
      <c r="RIW28" s="55"/>
      <c r="RIX28" s="53"/>
      <c r="RJB28" s="28"/>
      <c r="RJD28" s="55"/>
      <c r="RJE28" s="53"/>
      <c r="RJI28" s="28"/>
      <c r="RJK28" s="55"/>
      <c r="RJL28" s="53"/>
      <c r="RJP28" s="28"/>
      <c r="RJR28" s="55"/>
      <c r="RJS28" s="53"/>
      <c r="RJW28" s="28"/>
      <c r="RJY28" s="55"/>
      <c r="RJZ28" s="53"/>
      <c r="RKD28" s="28"/>
      <c r="RKF28" s="55"/>
      <c r="RKG28" s="53"/>
      <c r="RKK28" s="28"/>
      <c r="RKM28" s="55"/>
      <c r="RKN28" s="53"/>
      <c r="RKR28" s="28"/>
      <c r="RKT28" s="55"/>
      <c r="RKU28" s="53"/>
      <c r="RKY28" s="28"/>
      <c r="RLA28" s="55"/>
      <c r="RLB28" s="53"/>
      <c r="RLF28" s="28"/>
      <c r="RLH28" s="55"/>
      <c r="RLI28" s="53"/>
      <c r="RLM28" s="28"/>
      <c r="RLO28" s="55"/>
      <c r="RLP28" s="53"/>
      <c r="RLT28" s="28"/>
      <c r="RLV28" s="55"/>
      <c r="RLW28" s="53"/>
      <c r="RMA28" s="28"/>
      <c r="RMC28" s="55"/>
      <c r="RMD28" s="53"/>
      <c r="RMH28" s="28"/>
      <c r="RMJ28" s="55"/>
      <c r="RMK28" s="53"/>
      <c r="RMO28" s="28"/>
      <c r="RMQ28" s="55"/>
      <c r="RMR28" s="53"/>
      <c r="RMV28" s="28"/>
      <c r="RMX28" s="55"/>
      <c r="RMY28" s="53"/>
      <c r="RNC28" s="28"/>
      <c r="RNE28" s="55"/>
      <c r="RNF28" s="53"/>
      <c r="RNJ28" s="28"/>
      <c r="RNL28" s="55"/>
      <c r="RNM28" s="53"/>
      <c r="RNQ28" s="28"/>
      <c r="RNS28" s="55"/>
      <c r="RNT28" s="53"/>
      <c r="RNX28" s="28"/>
      <c r="RNZ28" s="55"/>
      <c r="ROA28" s="53"/>
      <c r="ROE28" s="28"/>
      <c r="ROG28" s="55"/>
      <c r="ROH28" s="53"/>
      <c r="ROL28" s="28"/>
      <c r="RON28" s="55"/>
      <c r="ROO28" s="53"/>
      <c r="ROS28" s="28"/>
      <c r="ROU28" s="55"/>
      <c r="ROV28" s="53"/>
      <c r="ROZ28" s="28"/>
      <c r="RPB28" s="55"/>
      <c r="RPC28" s="53"/>
      <c r="RPG28" s="28"/>
      <c r="RPI28" s="55"/>
      <c r="RPJ28" s="53"/>
      <c r="RPN28" s="28"/>
      <c r="RPP28" s="55"/>
      <c r="RPQ28" s="53"/>
      <c r="RPU28" s="28"/>
      <c r="RPW28" s="55"/>
      <c r="RPX28" s="53"/>
      <c r="RQB28" s="28"/>
      <c r="RQD28" s="55"/>
      <c r="RQE28" s="53"/>
      <c r="RQI28" s="28"/>
      <c r="RQK28" s="55"/>
      <c r="RQL28" s="53"/>
      <c r="RQP28" s="28"/>
      <c r="RQR28" s="55"/>
      <c r="RQS28" s="53"/>
      <c r="RQW28" s="28"/>
      <c r="RQY28" s="55"/>
      <c r="RQZ28" s="53"/>
      <c r="RRD28" s="28"/>
      <c r="RRF28" s="55"/>
      <c r="RRG28" s="53"/>
      <c r="RRK28" s="28"/>
      <c r="RRM28" s="55"/>
      <c r="RRN28" s="53"/>
      <c r="RRR28" s="28"/>
      <c r="RRT28" s="55"/>
      <c r="RRU28" s="53"/>
      <c r="RRY28" s="28"/>
      <c r="RSA28" s="55"/>
      <c r="RSB28" s="53"/>
      <c r="RSF28" s="28"/>
      <c r="RSH28" s="55"/>
      <c r="RSI28" s="53"/>
      <c r="RSM28" s="28"/>
      <c r="RSO28" s="55"/>
      <c r="RSP28" s="53"/>
      <c r="RST28" s="28"/>
      <c r="RSV28" s="55"/>
      <c r="RSW28" s="53"/>
      <c r="RTA28" s="28"/>
      <c r="RTC28" s="55"/>
      <c r="RTD28" s="53"/>
      <c r="RTH28" s="28"/>
      <c r="RTJ28" s="55"/>
      <c r="RTK28" s="53"/>
      <c r="RTO28" s="28"/>
      <c r="RTQ28" s="55"/>
      <c r="RTR28" s="53"/>
      <c r="RTV28" s="28"/>
      <c r="RTX28" s="55"/>
      <c r="RTY28" s="53"/>
      <c r="RUC28" s="28"/>
      <c r="RUE28" s="55"/>
      <c r="RUF28" s="53"/>
      <c r="RUJ28" s="28"/>
      <c r="RUL28" s="55"/>
      <c r="RUM28" s="53"/>
      <c r="RUQ28" s="28"/>
      <c r="RUS28" s="55"/>
      <c r="RUT28" s="53"/>
      <c r="RUX28" s="28"/>
      <c r="RUZ28" s="55"/>
      <c r="RVA28" s="53"/>
      <c r="RVE28" s="28"/>
      <c r="RVG28" s="55"/>
      <c r="RVH28" s="53"/>
      <c r="RVL28" s="28"/>
      <c r="RVN28" s="55"/>
      <c r="RVO28" s="53"/>
      <c r="RVS28" s="28"/>
      <c r="RVU28" s="55"/>
      <c r="RVV28" s="53"/>
      <c r="RVZ28" s="28"/>
      <c r="RWB28" s="55"/>
      <c r="RWC28" s="53"/>
      <c r="RWG28" s="28"/>
      <c r="RWI28" s="55"/>
      <c r="RWJ28" s="53"/>
      <c r="RWN28" s="28"/>
      <c r="RWP28" s="55"/>
      <c r="RWQ28" s="53"/>
      <c r="RWU28" s="28"/>
      <c r="RWW28" s="55"/>
      <c r="RWX28" s="53"/>
      <c r="RXB28" s="28"/>
      <c r="RXD28" s="55"/>
      <c r="RXE28" s="53"/>
      <c r="RXI28" s="28"/>
      <c r="RXK28" s="55"/>
      <c r="RXL28" s="53"/>
      <c r="RXP28" s="28"/>
      <c r="RXR28" s="55"/>
      <c r="RXS28" s="53"/>
      <c r="RXW28" s="28"/>
      <c r="RXY28" s="55"/>
      <c r="RXZ28" s="53"/>
      <c r="RYD28" s="28"/>
      <c r="RYF28" s="55"/>
      <c r="RYG28" s="53"/>
      <c r="RYK28" s="28"/>
      <c r="RYM28" s="55"/>
      <c r="RYN28" s="53"/>
      <c r="RYR28" s="28"/>
      <c r="RYT28" s="55"/>
      <c r="RYU28" s="53"/>
      <c r="RYY28" s="28"/>
      <c r="RZA28" s="55"/>
      <c r="RZB28" s="53"/>
      <c r="RZF28" s="28"/>
      <c r="RZH28" s="55"/>
      <c r="RZI28" s="53"/>
      <c r="RZM28" s="28"/>
      <c r="RZO28" s="55"/>
      <c r="RZP28" s="53"/>
      <c r="RZT28" s="28"/>
      <c r="RZV28" s="55"/>
      <c r="RZW28" s="53"/>
      <c r="SAA28" s="28"/>
      <c r="SAC28" s="55"/>
      <c r="SAD28" s="53"/>
      <c r="SAH28" s="28"/>
      <c r="SAJ28" s="55"/>
      <c r="SAK28" s="53"/>
      <c r="SAO28" s="28"/>
      <c r="SAQ28" s="55"/>
      <c r="SAR28" s="53"/>
      <c r="SAV28" s="28"/>
      <c r="SAX28" s="55"/>
      <c r="SAY28" s="53"/>
      <c r="SBC28" s="28"/>
      <c r="SBE28" s="55"/>
      <c r="SBF28" s="53"/>
      <c r="SBJ28" s="28"/>
      <c r="SBL28" s="55"/>
      <c r="SBM28" s="53"/>
      <c r="SBQ28" s="28"/>
      <c r="SBS28" s="55"/>
      <c r="SBT28" s="53"/>
      <c r="SBX28" s="28"/>
      <c r="SBZ28" s="55"/>
      <c r="SCA28" s="53"/>
      <c r="SCE28" s="28"/>
      <c r="SCG28" s="55"/>
      <c r="SCH28" s="53"/>
      <c r="SCL28" s="28"/>
      <c r="SCN28" s="55"/>
      <c r="SCO28" s="53"/>
      <c r="SCS28" s="28"/>
      <c r="SCU28" s="55"/>
      <c r="SCV28" s="53"/>
      <c r="SCZ28" s="28"/>
      <c r="SDB28" s="55"/>
      <c r="SDC28" s="53"/>
      <c r="SDG28" s="28"/>
      <c r="SDI28" s="55"/>
      <c r="SDJ28" s="53"/>
      <c r="SDN28" s="28"/>
      <c r="SDP28" s="55"/>
      <c r="SDQ28" s="53"/>
      <c r="SDU28" s="28"/>
      <c r="SDW28" s="55"/>
      <c r="SDX28" s="53"/>
      <c r="SEB28" s="28"/>
      <c r="SED28" s="55"/>
      <c r="SEE28" s="53"/>
      <c r="SEI28" s="28"/>
      <c r="SEK28" s="55"/>
      <c r="SEL28" s="53"/>
      <c r="SEP28" s="28"/>
      <c r="SER28" s="55"/>
      <c r="SES28" s="53"/>
      <c r="SEW28" s="28"/>
      <c r="SEY28" s="55"/>
      <c r="SEZ28" s="53"/>
      <c r="SFD28" s="28"/>
      <c r="SFF28" s="55"/>
      <c r="SFG28" s="53"/>
      <c r="SFK28" s="28"/>
      <c r="SFM28" s="55"/>
      <c r="SFN28" s="53"/>
      <c r="SFR28" s="28"/>
      <c r="SFT28" s="55"/>
      <c r="SFU28" s="53"/>
      <c r="SFY28" s="28"/>
      <c r="SGA28" s="55"/>
      <c r="SGB28" s="53"/>
      <c r="SGF28" s="28"/>
      <c r="SGH28" s="55"/>
      <c r="SGI28" s="53"/>
      <c r="SGM28" s="28"/>
      <c r="SGO28" s="55"/>
      <c r="SGP28" s="53"/>
      <c r="SGT28" s="28"/>
      <c r="SGV28" s="55"/>
      <c r="SGW28" s="53"/>
      <c r="SHA28" s="28"/>
      <c r="SHC28" s="55"/>
      <c r="SHD28" s="53"/>
      <c r="SHH28" s="28"/>
      <c r="SHJ28" s="55"/>
      <c r="SHK28" s="53"/>
      <c r="SHO28" s="28"/>
      <c r="SHQ28" s="55"/>
      <c r="SHR28" s="53"/>
      <c r="SHV28" s="28"/>
      <c r="SHX28" s="55"/>
      <c r="SHY28" s="53"/>
      <c r="SIC28" s="28"/>
      <c r="SIE28" s="55"/>
      <c r="SIF28" s="53"/>
      <c r="SIJ28" s="28"/>
      <c r="SIL28" s="55"/>
      <c r="SIM28" s="53"/>
      <c r="SIQ28" s="28"/>
      <c r="SIS28" s="55"/>
      <c r="SIT28" s="53"/>
      <c r="SIX28" s="28"/>
      <c r="SIZ28" s="55"/>
      <c r="SJA28" s="53"/>
      <c r="SJE28" s="28"/>
      <c r="SJG28" s="55"/>
      <c r="SJH28" s="53"/>
      <c r="SJL28" s="28"/>
      <c r="SJN28" s="55"/>
      <c r="SJO28" s="53"/>
      <c r="SJS28" s="28"/>
      <c r="SJU28" s="55"/>
      <c r="SJV28" s="53"/>
      <c r="SJZ28" s="28"/>
      <c r="SKB28" s="55"/>
      <c r="SKC28" s="53"/>
      <c r="SKG28" s="28"/>
      <c r="SKI28" s="55"/>
      <c r="SKJ28" s="53"/>
      <c r="SKN28" s="28"/>
      <c r="SKP28" s="55"/>
      <c r="SKQ28" s="53"/>
      <c r="SKU28" s="28"/>
      <c r="SKW28" s="55"/>
      <c r="SKX28" s="53"/>
      <c r="SLB28" s="28"/>
      <c r="SLD28" s="55"/>
      <c r="SLE28" s="53"/>
      <c r="SLI28" s="28"/>
      <c r="SLK28" s="55"/>
      <c r="SLL28" s="53"/>
      <c r="SLP28" s="28"/>
      <c r="SLR28" s="55"/>
      <c r="SLS28" s="53"/>
      <c r="SLW28" s="28"/>
      <c r="SLY28" s="55"/>
      <c r="SLZ28" s="53"/>
      <c r="SMD28" s="28"/>
      <c r="SMF28" s="55"/>
      <c r="SMG28" s="53"/>
      <c r="SMK28" s="28"/>
      <c r="SMM28" s="55"/>
      <c r="SMN28" s="53"/>
      <c r="SMR28" s="28"/>
      <c r="SMT28" s="55"/>
      <c r="SMU28" s="53"/>
      <c r="SMY28" s="28"/>
      <c r="SNA28" s="55"/>
      <c r="SNB28" s="53"/>
      <c r="SNF28" s="28"/>
      <c r="SNH28" s="55"/>
      <c r="SNI28" s="53"/>
      <c r="SNM28" s="28"/>
      <c r="SNO28" s="55"/>
      <c r="SNP28" s="53"/>
      <c r="SNT28" s="28"/>
      <c r="SNV28" s="55"/>
      <c r="SNW28" s="53"/>
      <c r="SOA28" s="28"/>
      <c r="SOC28" s="55"/>
      <c r="SOD28" s="53"/>
      <c r="SOH28" s="28"/>
      <c r="SOJ28" s="55"/>
      <c r="SOK28" s="53"/>
      <c r="SOO28" s="28"/>
      <c r="SOQ28" s="55"/>
      <c r="SOR28" s="53"/>
      <c r="SOV28" s="28"/>
      <c r="SOX28" s="55"/>
      <c r="SOY28" s="53"/>
      <c r="SPC28" s="28"/>
      <c r="SPE28" s="55"/>
      <c r="SPF28" s="53"/>
      <c r="SPJ28" s="28"/>
      <c r="SPL28" s="55"/>
      <c r="SPM28" s="53"/>
      <c r="SPQ28" s="28"/>
      <c r="SPS28" s="55"/>
      <c r="SPT28" s="53"/>
      <c r="SPX28" s="28"/>
      <c r="SPZ28" s="55"/>
      <c r="SQA28" s="53"/>
      <c r="SQE28" s="28"/>
      <c r="SQG28" s="55"/>
      <c r="SQH28" s="53"/>
      <c r="SQL28" s="28"/>
      <c r="SQN28" s="55"/>
      <c r="SQO28" s="53"/>
      <c r="SQS28" s="28"/>
      <c r="SQU28" s="55"/>
      <c r="SQV28" s="53"/>
      <c r="SQZ28" s="28"/>
      <c r="SRB28" s="55"/>
      <c r="SRC28" s="53"/>
      <c r="SRG28" s="28"/>
      <c r="SRI28" s="55"/>
      <c r="SRJ28" s="53"/>
      <c r="SRN28" s="28"/>
      <c r="SRP28" s="55"/>
      <c r="SRQ28" s="53"/>
      <c r="SRU28" s="28"/>
      <c r="SRW28" s="55"/>
      <c r="SRX28" s="53"/>
      <c r="SSB28" s="28"/>
      <c r="SSD28" s="55"/>
      <c r="SSE28" s="53"/>
      <c r="SSI28" s="28"/>
      <c r="SSK28" s="55"/>
      <c r="SSL28" s="53"/>
      <c r="SSP28" s="28"/>
      <c r="SSR28" s="55"/>
      <c r="SSS28" s="53"/>
      <c r="SSW28" s="28"/>
      <c r="SSY28" s="55"/>
      <c r="SSZ28" s="53"/>
      <c r="STD28" s="28"/>
      <c r="STF28" s="55"/>
      <c r="STG28" s="53"/>
      <c r="STK28" s="28"/>
      <c r="STM28" s="55"/>
      <c r="STN28" s="53"/>
      <c r="STR28" s="28"/>
      <c r="STT28" s="55"/>
      <c r="STU28" s="53"/>
      <c r="STY28" s="28"/>
      <c r="SUA28" s="55"/>
      <c r="SUB28" s="53"/>
      <c r="SUF28" s="28"/>
      <c r="SUH28" s="55"/>
      <c r="SUI28" s="53"/>
      <c r="SUM28" s="28"/>
      <c r="SUO28" s="55"/>
      <c r="SUP28" s="53"/>
      <c r="SUT28" s="28"/>
      <c r="SUV28" s="55"/>
      <c r="SUW28" s="53"/>
      <c r="SVA28" s="28"/>
      <c r="SVC28" s="55"/>
      <c r="SVD28" s="53"/>
      <c r="SVH28" s="28"/>
      <c r="SVJ28" s="55"/>
      <c r="SVK28" s="53"/>
      <c r="SVO28" s="28"/>
      <c r="SVQ28" s="55"/>
      <c r="SVR28" s="53"/>
      <c r="SVV28" s="28"/>
      <c r="SVX28" s="55"/>
      <c r="SVY28" s="53"/>
      <c r="SWC28" s="28"/>
      <c r="SWE28" s="55"/>
      <c r="SWF28" s="53"/>
      <c r="SWJ28" s="28"/>
      <c r="SWL28" s="55"/>
      <c r="SWM28" s="53"/>
      <c r="SWQ28" s="28"/>
      <c r="SWS28" s="55"/>
      <c r="SWT28" s="53"/>
      <c r="SWX28" s="28"/>
      <c r="SWZ28" s="55"/>
      <c r="SXA28" s="53"/>
      <c r="SXE28" s="28"/>
      <c r="SXG28" s="55"/>
      <c r="SXH28" s="53"/>
      <c r="SXL28" s="28"/>
      <c r="SXN28" s="55"/>
      <c r="SXO28" s="53"/>
      <c r="SXS28" s="28"/>
      <c r="SXU28" s="55"/>
      <c r="SXV28" s="53"/>
      <c r="SXZ28" s="28"/>
      <c r="SYB28" s="55"/>
      <c r="SYC28" s="53"/>
      <c r="SYG28" s="28"/>
      <c r="SYI28" s="55"/>
      <c r="SYJ28" s="53"/>
      <c r="SYN28" s="28"/>
      <c r="SYP28" s="55"/>
      <c r="SYQ28" s="53"/>
      <c r="SYU28" s="28"/>
      <c r="SYW28" s="55"/>
      <c r="SYX28" s="53"/>
      <c r="SZB28" s="28"/>
      <c r="SZD28" s="55"/>
      <c r="SZE28" s="53"/>
      <c r="SZI28" s="28"/>
      <c r="SZK28" s="55"/>
      <c r="SZL28" s="53"/>
      <c r="SZP28" s="28"/>
      <c r="SZR28" s="55"/>
      <c r="SZS28" s="53"/>
      <c r="SZW28" s="28"/>
      <c r="SZY28" s="55"/>
      <c r="SZZ28" s="53"/>
      <c r="TAD28" s="28"/>
      <c r="TAF28" s="55"/>
      <c r="TAG28" s="53"/>
      <c r="TAK28" s="28"/>
      <c r="TAM28" s="55"/>
      <c r="TAN28" s="53"/>
      <c r="TAR28" s="28"/>
      <c r="TAT28" s="55"/>
      <c r="TAU28" s="53"/>
      <c r="TAY28" s="28"/>
      <c r="TBA28" s="55"/>
      <c r="TBB28" s="53"/>
      <c r="TBF28" s="28"/>
      <c r="TBH28" s="55"/>
      <c r="TBI28" s="53"/>
      <c r="TBM28" s="28"/>
      <c r="TBO28" s="55"/>
      <c r="TBP28" s="53"/>
      <c r="TBT28" s="28"/>
      <c r="TBV28" s="55"/>
      <c r="TBW28" s="53"/>
      <c r="TCA28" s="28"/>
      <c r="TCC28" s="55"/>
      <c r="TCD28" s="53"/>
      <c r="TCH28" s="28"/>
      <c r="TCJ28" s="55"/>
      <c r="TCK28" s="53"/>
      <c r="TCO28" s="28"/>
      <c r="TCQ28" s="55"/>
      <c r="TCR28" s="53"/>
      <c r="TCV28" s="28"/>
      <c r="TCX28" s="55"/>
      <c r="TCY28" s="53"/>
      <c r="TDC28" s="28"/>
      <c r="TDE28" s="55"/>
      <c r="TDF28" s="53"/>
      <c r="TDJ28" s="28"/>
      <c r="TDL28" s="55"/>
      <c r="TDM28" s="53"/>
      <c r="TDQ28" s="28"/>
      <c r="TDS28" s="55"/>
      <c r="TDT28" s="53"/>
      <c r="TDX28" s="28"/>
      <c r="TDZ28" s="55"/>
      <c r="TEA28" s="53"/>
      <c r="TEE28" s="28"/>
      <c r="TEG28" s="55"/>
      <c r="TEH28" s="53"/>
      <c r="TEL28" s="28"/>
      <c r="TEN28" s="55"/>
      <c r="TEO28" s="53"/>
      <c r="TES28" s="28"/>
      <c r="TEU28" s="55"/>
      <c r="TEV28" s="53"/>
      <c r="TEZ28" s="28"/>
      <c r="TFB28" s="55"/>
      <c r="TFC28" s="53"/>
      <c r="TFG28" s="28"/>
      <c r="TFI28" s="55"/>
      <c r="TFJ28" s="53"/>
      <c r="TFN28" s="28"/>
      <c r="TFP28" s="55"/>
      <c r="TFQ28" s="53"/>
      <c r="TFU28" s="28"/>
      <c r="TFW28" s="55"/>
      <c r="TFX28" s="53"/>
      <c r="TGB28" s="28"/>
      <c r="TGD28" s="55"/>
      <c r="TGE28" s="53"/>
      <c r="TGI28" s="28"/>
      <c r="TGK28" s="55"/>
      <c r="TGL28" s="53"/>
      <c r="TGP28" s="28"/>
      <c r="TGR28" s="55"/>
      <c r="TGS28" s="53"/>
      <c r="TGW28" s="28"/>
      <c r="TGY28" s="55"/>
      <c r="TGZ28" s="53"/>
      <c r="THD28" s="28"/>
      <c r="THF28" s="55"/>
      <c r="THG28" s="53"/>
      <c r="THK28" s="28"/>
      <c r="THM28" s="55"/>
      <c r="THN28" s="53"/>
      <c r="THR28" s="28"/>
      <c r="THT28" s="55"/>
      <c r="THU28" s="53"/>
      <c r="THY28" s="28"/>
      <c r="TIA28" s="55"/>
      <c r="TIB28" s="53"/>
      <c r="TIF28" s="28"/>
      <c r="TIH28" s="55"/>
      <c r="TII28" s="53"/>
      <c r="TIM28" s="28"/>
      <c r="TIO28" s="55"/>
      <c r="TIP28" s="53"/>
      <c r="TIT28" s="28"/>
      <c r="TIV28" s="55"/>
      <c r="TIW28" s="53"/>
      <c r="TJA28" s="28"/>
      <c r="TJC28" s="55"/>
      <c r="TJD28" s="53"/>
      <c r="TJH28" s="28"/>
      <c r="TJJ28" s="55"/>
      <c r="TJK28" s="53"/>
      <c r="TJO28" s="28"/>
      <c r="TJQ28" s="55"/>
      <c r="TJR28" s="53"/>
      <c r="TJV28" s="28"/>
      <c r="TJX28" s="55"/>
      <c r="TJY28" s="53"/>
      <c r="TKC28" s="28"/>
      <c r="TKE28" s="55"/>
      <c r="TKF28" s="53"/>
      <c r="TKJ28" s="28"/>
      <c r="TKL28" s="55"/>
      <c r="TKM28" s="53"/>
      <c r="TKQ28" s="28"/>
      <c r="TKS28" s="55"/>
      <c r="TKT28" s="53"/>
      <c r="TKX28" s="28"/>
      <c r="TKZ28" s="55"/>
      <c r="TLA28" s="53"/>
      <c r="TLE28" s="28"/>
      <c r="TLG28" s="55"/>
      <c r="TLH28" s="53"/>
      <c r="TLL28" s="28"/>
      <c r="TLN28" s="55"/>
      <c r="TLO28" s="53"/>
      <c r="TLS28" s="28"/>
      <c r="TLU28" s="55"/>
      <c r="TLV28" s="53"/>
      <c r="TLZ28" s="28"/>
      <c r="TMB28" s="55"/>
      <c r="TMC28" s="53"/>
      <c r="TMG28" s="28"/>
      <c r="TMI28" s="55"/>
      <c r="TMJ28" s="53"/>
      <c r="TMN28" s="28"/>
      <c r="TMP28" s="55"/>
      <c r="TMQ28" s="53"/>
      <c r="TMU28" s="28"/>
      <c r="TMW28" s="55"/>
      <c r="TMX28" s="53"/>
      <c r="TNB28" s="28"/>
      <c r="TND28" s="55"/>
      <c r="TNE28" s="53"/>
      <c r="TNI28" s="28"/>
      <c r="TNK28" s="55"/>
      <c r="TNL28" s="53"/>
      <c r="TNP28" s="28"/>
      <c r="TNR28" s="55"/>
      <c r="TNS28" s="53"/>
      <c r="TNW28" s="28"/>
      <c r="TNY28" s="55"/>
      <c r="TNZ28" s="53"/>
      <c r="TOD28" s="28"/>
      <c r="TOF28" s="55"/>
      <c r="TOG28" s="53"/>
      <c r="TOK28" s="28"/>
      <c r="TOM28" s="55"/>
      <c r="TON28" s="53"/>
      <c r="TOR28" s="28"/>
      <c r="TOT28" s="55"/>
      <c r="TOU28" s="53"/>
      <c r="TOY28" s="28"/>
      <c r="TPA28" s="55"/>
      <c r="TPB28" s="53"/>
      <c r="TPF28" s="28"/>
      <c r="TPH28" s="55"/>
      <c r="TPI28" s="53"/>
      <c r="TPM28" s="28"/>
      <c r="TPO28" s="55"/>
      <c r="TPP28" s="53"/>
      <c r="TPT28" s="28"/>
      <c r="TPV28" s="55"/>
      <c r="TPW28" s="53"/>
      <c r="TQA28" s="28"/>
      <c r="TQC28" s="55"/>
      <c r="TQD28" s="53"/>
      <c r="TQH28" s="28"/>
      <c r="TQJ28" s="55"/>
      <c r="TQK28" s="53"/>
      <c r="TQO28" s="28"/>
      <c r="TQQ28" s="55"/>
      <c r="TQR28" s="53"/>
      <c r="TQV28" s="28"/>
      <c r="TQX28" s="55"/>
      <c r="TQY28" s="53"/>
      <c r="TRC28" s="28"/>
      <c r="TRE28" s="55"/>
      <c r="TRF28" s="53"/>
      <c r="TRJ28" s="28"/>
      <c r="TRL28" s="55"/>
      <c r="TRM28" s="53"/>
      <c r="TRQ28" s="28"/>
      <c r="TRS28" s="55"/>
      <c r="TRT28" s="53"/>
      <c r="TRX28" s="28"/>
      <c r="TRZ28" s="55"/>
      <c r="TSA28" s="53"/>
      <c r="TSE28" s="28"/>
      <c r="TSG28" s="55"/>
      <c r="TSH28" s="53"/>
      <c r="TSL28" s="28"/>
      <c r="TSN28" s="55"/>
      <c r="TSO28" s="53"/>
      <c r="TSS28" s="28"/>
      <c r="TSU28" s="55"/>
      <c r="TSV28" s="53"/>
      <c r="TSZ28" s="28"/>
      <c r="TTB28" s="55"/>
      <c r="TTC28" s="53"/>
      <c r="TTG28" s="28"/>
      <c r="TTI28" s="55"/>
      <c r="TTJ28" s="53"/>
      <c r="TTN28" s="28"/>
      <c r="TTP28" s="55"/>
      <c r="TTQ28" s="53"/>
      <c r="TTU28" s="28"/>
      <c r="TTW28" s="55"/>
      <c r="TTX28" s="53"/>
      <c r="TUB28" s="28"/>
      <c r="TUD28" s="55"/>
      <c r="TUE28" s="53"/>
      <c r="TUI28" s="28"/>
      <c r="TUK28" s="55"/>
      <c r="TUL28" s="53"/>
      <c r="TUP28" s="28"/>
      <c r="TUR28" s="55"/>
      <c r="TUS28" s="53"/>
      <c r="TUW28" s="28"/>
      <c r="TUY28" s="55"/>
      <c r="TUZ28" s="53"/>
      <c r="TVD28" s="28"/>
      <c r="TVF28" s="55"/>
      <c r="TVG28" s="53"/>
      <c r="TVK28" s="28"/>
      <c r="TVM28" s="55"/>
      <c r="TVN28" s="53"/>
      <c r="TVR28" s="28"/>
      <c r="TVT28" s="55"/>
      <c r="TVU28" s="53"/>
      <c r="TVY28" s="28"/>
      <c r="TWA28" s="55"/>
      <c r="TWB28" s="53"/>
      <c r="TWF28" s="28"/>
      <c r="TWH28" s="55"/>
      <c r="TWI28" s="53"/>
      <c r="TWM28" s="28"/>
      <c r="TWO28" s="55"/>
      <c r="TWP28" s="53"/>
      <c r="TWT28" s="28"/>
      <c r="TWV28" s="55"/>
      <c r="TWW28" s="53"/>
      <c r="TXA28" s="28"/>
      <c r="TXC28" s="55"/>
      <c r="TXD28" s="53"/>
      <c r="TXH28" s="28"/>
      <c r="TXJ28" s="55"/>
      <c r="TXK28" s="53"/>
      <c r="TXO28" s="28"/>
      <c r="TXQ28" s="55"/>
      <c r="TXR28" s="53"/>
      <c r="TXV28" s="28"/>
      <c r="TXX28" s="55"/>
      <c r="TXY28" s="53"/>
      <c r="TYC28" s="28"/>
      <c r="TYE28" s="55"/>
      <c r="TYF28" s="53"/>
      <c r="TYJ28" s="28"/>
      <c r="TYL28" s="55"/>
      <c r="TYM28" s="53"/>
      <c r="TYQ28" s="28"/>
      <c r="TYS28" s="55"/>
      <c r="TYT28" s="53"/>
      <c r="TYX28" s="28"/>
      <c r="TYZ28" s="55"/>
      <c r="TZA28" s="53"/>
      <c r="TZE28" s="28"/>
      <c r="TZG28" s="55"/>
      <c r="TZH28" s="53"/>
      <c r="TZL28" s="28"/>
      <c r="TZN28" s="55"/>
      <c r="TZO28" s="53"/>
      <c r="TZS28" s="28"/>
      <c r="TZU28" s="55"/>
      <c r="TZV28" s="53"/>
      <c r="TZZ28" s="28"/>
      <c r="UAB28" s="55"/>
      <c r="UAC28" s="53"/>
      <c r="UAG28" s="28"/>
      <c r="UAI28" s="55"/>
      <c r="UAJ28" s="53"/>
      <c r="UAN28" s="28"/>
      <c r="UAP28" s="55"/>
      <c r="UAQ28" s="53"/>
      <c r="UAU28" s="28"/>
      <c r="UAW28" s="55"/>
      <c r="UAX28" s="53"/>
      <c r="UBB28" s="28"/>
      <c r="UBD28" s="55"/>
      <c r="UBE28" s="53"/>
      <c r="UBI28" s="28"/>
      <c r="UBK28" s="55"/>
      <c r="UBL28" s="53"/>
      <c r="UBP28" s="28"/>
      <c r="UBR28" s="55"/>
      <c r="UBS28" s="53"/>
      <c r="UBW28" s="28"/>
      <c r="UBY28" s="55"/>
      <c r="UBZ28" s="53"/>
      <c r="UCD28" s="28"/>
      <c r="UCF28" s="55"/>
      <c r="UCG28" s="53"/>
      <c r="UCK28" s="28"/>
      <c r="UCM28" s="55"/>
      <c r="UCN28" s="53"/>
      <c r="UCR28" s="28"/>
      <c r="UCT28" s="55"/>
      <c r="UCU28" s="53"/>
      <c r="UCY28" s="28"/>
      <c r="UDA28" s="55"/>
      <c r="UDB28" s="53"/>
      <c r="UDF28" s="28"/>
      <c r="UDH28" s="55"/>
      <c r="UDI28" s="53"/>
      <c r="UDM28" s="28"/>
      <c r="UDO28" s="55"/>
      <c r="UDP28" s="53"/>
      <c r="UDT28" s="28"/>
      <c r="UDV28" s="55"/>
      <c r="UDW28" s="53"/>
      <c r="UEA28" s="28"/>
      <c r="UEC28" s="55"/>
      <c r="UED28" s="53"/>
      <c r="UEH28" s="28"/>
      <c r="UEJ28" s="55"/>
      <c r="UEK28" s="53"/>
      <c r="UEO28" s="28"/>
      <c r="UEQ28" s="55"/>
      <c r="UER28" s="53"/>
      <c r="UEV28" s="28"/>
      <c r="UEX28" s="55"/>
      <c r="UEY28" s="53"/>
      <c r="UFC28" s="28"/>
      <c r="UFE28" s="55"/>
      <c r="UFF28" s="53"/>
      <c r="UFJ28" s="28"/>
      <c r="UFL28" s="55"/>
      <c r="UFM28" s="53"/>
      <c r="UFQ28" s="28"/>
      <c r="UFS28" s="55"/>
      <c r="UFT28" s="53"/>
      <c r="UFX28" s="28"/>
      <c r="UFZ28" s="55"/>
      <c r="UGA28" s="53"/>
      <c r="UGE28" s="28"/>
      <c r="UGG28" s="55"/>
      <c r="UGH28" s="53"/>
      <c r="UGL28" s="28"/>
      <c r="UGN28" s="55"/>
      <c r="UGO28" s="53"/>
      <c r="UGS28" s="28"/>
      <c r="UGU28" s="55"/>
      <c r="UGV28" s="53"/>
      <c r="UGZ28" s="28"/>
      <c r="UHB28" s="55"/>
      <c r="UHC28" s="53"/>
      <c r="UHG28" s="28"/>
      <c r="UHI28" s="55"/>
      <c r="UHJ28" s="53"/>
      <c r="UHN28" s="28"/>
      <c r="UHP28" s="55"/>
      <c r="UHQ28" s="53"/>
      <c r="UHU28" s="28"/>
      <c r="UHW28" s="55"/>
      <c r="UHX28" s="53"/>
      <c r="UIB28" s="28"/>
      <c r="UID28" s="55"/>
      <c r="UIE28" s="53"/>
      <c r="UII28" s="28"/>
      <c r="UIK28" s="55"/>
      <c r="UIL28" s="53"/>
      <c r="UIP28" s="28"/>
      <c r="UIR28" s="55"/>
      <c r="UIS28" s="53"/>
      <c r="UIW28" s="28"/>
      <c r="UIY28" s="55"/>
      <c r="UIZ28" s="53"/>
      <c r="UJD28" s="28"/>
      <c r="UJF28" s="55"/>
      <c r="UJG28" s="53"/>
      <c r="UJK28" s="28"/>
      <c r="UJM28" s="55"/>
      <c r="UJN28" s="53"/>
      <c r="UJR28" s="28"/>
      <c r="UJT28" s="55"/>
      <c r="UJU28" s="53"/>
      <c r="UJY28" s="28"/>
      <c r="UKA28" s="55"/>
      <c r="UKB28" s="53"/>
      <c r="UKF28" s="28"/>
      <c r="UKH28" s="55"/>
      <c r="UKI28" s="53"/>
      <c r="UKM28" s="28"/>
      <c r="UKO28" s="55"/>
      <c r="UKP28" s="53"/>
      <c r="UKT28" s="28"/>
      <c r="UKV28" s="55"/>
      <c r="UKW28" s="53"/>
      <c r="ULA28" s="28"/>
      <c r="ULC28" s="55"/>
      <c r="ULD28" s="53"/>
      <c r="ULH28" s="28"/>
      <c r="ULJ28" s="55"/>
      <c r="ULK28" s="53"/>
      <c r="ULO28" s="28"/>
      <c r="ULQ28" s="55"/>
      <c r="ULR28" s="53"/>
      <c r="ULV28" s="28"/>
      <c r="ULX28" s="55"/>
      <c r="ULY28" s="53"/>
      <c r="UMC28" s="28"/>
      <c r="UME28" s="55"/>
      <c r="UMF28" s="53"/>
      <c r="UMJ28" s="28"/>
      <c r="UML28" s="55"/>
      <c r="UMM28" s="53"/>
      <c r="UMQ28" s="28"/>
      <c r="UMS28" s="55"/>
      <c r="UMT28" s="53"/>
      <c r="UMX28" s="28"/>
      <c r="UMZ28" s="55"/>
      <c r="UNA28" s="53"/>
      <c r="UNE28" s="28"/>
      <c r="UNG28" s="55"/>
      <c r="UNH28" s="53"/>
      <c r="UNL28" s="28"/>
      <c r="UNN28" s="55"/>
      <c r="UNO28" s="53"/>
      <c r="UNS28" s="28"/>
      <c r="UNU28" s="55"/>
      <c r="UNV28" s="53"/>
      <c r="UNZ28" s="28"/>
      <c r="UOB28" s="55"/>
      <c r="UOC28" s="53"/>
      <c r="UOG28" s="28"/>
      <c r="UOI28" s="55"/>
      <c r="UOJ28" s="53"/>
      <c r="UON28" s="28"/>
      <c r="UOP28" s="55"/>
      <c r="UOQ28" s="53"/>
      <c r="UOU28" s="28"/>
      <c r="UOW28" s="55"/>
      <c r="UOX28" s="53"/>
      <c r="UPB28" s="28"/>
      <c r="UPD28" s="55"/>
      <c r="UPE28" s="53"/>
      <c r="UPI28" s="28"/>
      <c r="UPK28" s="55"/>
      <c r="UPL28" s="53"/>
      <c r="UPP28" s="28"/>
      <c r="UPR28" s="55"/>
      <c r="UPS28" s="53"/>
      <c r="UPW28" s="28"/>
      <c r="UPY28" s="55"/>
      <c r="UPZ28" s="53"/>
      <c r="UQD28" s="28"/>
      <c r="UQF28" s="55"/>
      <c r="UQG28" s="53"/>
      <c r="UQK28" s="28"/>
      <c r="UQM28" s="55"/>
      <c r="UQN28" s="53"/>
      <c r="UQR28" s="28"/>
      <c r="UQT28" s="55"/>
      <c r="UQU28" s="53"/>
      <c r="UQY28" s="28"/>
      <c r="URA28" s="55"/>
      <c r="URB28" s="53"/>
      <c r="URF28" s="28"/>
      <c r="URH28" s="55"/>
      <c r="URI28" s="53"/>
      <c r="URM28" s="28"/>
      <c r="URO28" s="55"/>
      <c r="URP28" s="53"/>
      <c r="URT28" s="28"/>
      <c r="URV28" s="55"/>
      <c r="URW28" s="53"/>
      <c r="USA28" s="28"/>
      <c r="USC28" s="55"/>
      <c r="USD28" s="53"/>
      <c r="USH28" s="28"/>
      <c r="USJ28" s="55"/>
      <c r="USK28" s="53"/>
      <c r="USO28" s="28"/>
      <c r="USQ28" s="55"/>
      <c r="USR28" s="53"/>
      <c r="USV28" s="28"/>
      <c r="USX28" s="55"/>
      <c r="USY28" s="53"/>
      <c r="UTC28" s="28"/>
      <c r="UTE28" s="55"/>
      <c r="UTF28" s="53"/>
      <c r="UTJ28" s="28"/>
      <c r="UTL28" s="55"/>
      <c r="UTM28" s="53"/>
      <c r="UTQ28" s="28"/>
      <c r="UTS28" s="55"/>
      <c r="UTT28" s="53"/>
      <c r="UTX28" s="28"/>
      <c r="UTZ28" s="55"/>
      <c r="UUA28" s="53"/>
      <c r="UUE28" s="28"/>
      <c r="UUG28" s="55"/>
      <c r="UUH28" s="53"/>
      <c r="UUL28" s="28"/>
      <c r="UUN28" s="55"/>
      <c r="UUO28" s="53"/>
      <c r="UUS28" s="28"/>
      <c r="UUU28" s="55"/>
      <c r="UUV28" s="53"/>
      <c r="UUZ28" s="28"/>
      <c r="UVB28" s="55"/>
      <c r="UVC28" s="53"/>
      <c r="UVG28" s="28"/>
      <c r="UVI28" s="55"/>
      <c r="UVJ28" s="53"/>
      <c r="UVN28" s="28"/>
      <c r="UVP28" s="55"/>
      <c r="UVQ28" s="53"/>
      <c r="UVU28" s="28"/>
      <c r="UVW28" s="55"/>
      <c r="UVX28" s="53"/>
      <c r="UWB28" s="28"/>
      <c r="UWD28" s="55"/>
      <c r="UWE28" s="53"/>
      <c r="UWI28" s="28"/>
      <c r="UWK28" s="55"/>
      <c r="UWL28" s="53"/>
      <c r="UWP28" s="28"/>
      <c r="UWR28" s="55"/>
      <c r="UWS28" s="53"/>
      <c r="UWW28" s="28"/>
      <c r="UWY28" s="55"/>
      <c r="UWZ28" s="53"/>
      <c r="UXD28" s="28"/>
      <c r="UXF28" s="55"/>
      <c r="UXG28" s="53"/>
      <c r="UXK28" s="28"/>
      <c r="UXM28" s="55"/>
      <c r="UXN28" s="53"/>
      <c r="UXR28" s="28"/>
      <c r="UXT28" s="55"/>
      <c r="UXU28" s="53"/>
      <c r="UXY28" s="28"/>
      <c r="UYA28" s="55"/>
      <c r="UYB28" s="53"/>
      <c r="UYF28" s="28"/>
      <c r="UYH28" s="55"/>
      <c r="UYI28" s="53"/>
      <c r="UYM28" s="28"/>
      <c r="UYO28" s="55"/>
      <c r="UYP28" s="53"/>
      <c r="UYT28" s="28"/>
      <c r="UYV28" s="55"/>
      <c r="UYW28" s="53"/>
      <c r="UZA28" s="28"/>
      <c r="UZC28" s="55"/>
      <c r="UZD28" s="53"/>
      <c r="UZH28" s="28"/>
      <c r="UZJ28" s="55"/>
      <c r="UZK28" s="53"/>
      <c r="UZO28" s="28"/>
      <c r="UZQ28" s="55"/>
      <c r="UZR28" s="53"/>
      <c r="UZV28" s="28"/>
      <c r="UZX28" s="55"/>
      <c r="UZY28" s="53"/>
      <c r="VAC28" s="28"/>
      <c r="VAE28" s="55"/>
      <c r="VAF28" s="53"/>
      <c r="VAJ28" s="28"/>
      <c r="VAL28" s="55"/>
      <c r="VAM28" s="53"/>
      <c r="VAQ28" s="28"/>
      <c r="VAS28" s="55"/>
      <c r="VAT28" s="53"/>
      <c r="VAX28" s="28"/>
      <c r="VAZ28" s="55"/>
      <c r="VBA28" s="53"/>
      <c r="VBE28" s="28"/>
      <c r="VBG28" s="55"/>
      <c r="VBH28" s="53"/>
      <c r="VBL28" s="28"/>
      <c r="VBN28" s="55"/>
      <c r="VBO28" s="53"/>
      <c r="VBS28" s="28"/>
      <c r="VBU28" s="55"/>
      <c r="VBV28" s="53"/>
      <c r="VBZ28" s="28"/>
      <c r="VCB28" s="55"/>
      <c r="VCC28" s="53"/>
      <c r="VCG28" s="28"/>
      <c r="VCI28" s="55"/>
      <c r="VCJ28" s="53"/>
      <c r="VCN28" s="28"/>
      <c r="VCP28" s="55"/>
      <c r="VCQ28" s="53"/>
      <c r="VCU28" s="28"/>
      <c r="VCW28" s="55"/>
      <c r="VCX28" s="53"/>
      <c r="VDB28" s="28"/>
      <c r="VDD28" s="55"/>
      <c r="VDE28" s="53"/>
      <c r="VDI28" s="28"/>
      <c r="VDK28" s="55"/>
      <c r="VDL28" s="53"/>
      <c r="VDP28" s="28"/>
      <c r="VDR28" s="55"/>
      <c r="VDS28" s="53"/>
      <c r="VDW28" s="28"/>
      <c r="VDY28" s="55"/>
      <c r="VDZ28" s="53"/>
      <c r="VED28" s="28"/>
      <c r="VEF28" s="55"/>
      <c r="VEG28" s="53"/>
      <c r="VEK28" s="28"/>
      <c r="VEM28" s="55"/>
      <c r="VEN28" s="53"/>
      <c r="VER28" s="28"/>
      <c r="VET28" s="55"/>
      <c r="VEU28" s="53"/>
      <c r="VEY28" s="28"/>
      <c r="VFA28" s="55"/>
      <c r="VFB28" s="53"/>
      <c r="VFF28" s="28"/>
      <c r="VFH28" s="55"/>
      <c r="VFI28" s="53"/>
      <c r="VFM28" s="28"/>
      <c r="VFO28" s="55"/>
      <c r="VFP28" s="53"/>
      <c r="VFT28" s="28"/>
      <c r="VFV28" s="55"/>
      <c r="VFW28" s="53"/>
      <c r="VGA28" s="28"/>
      <c r="VGC28" s="55"/>
      <c r="VGD28" s="53"/>
      <c r="VGH28" s="28"/>
      <c r="VGJ28" s="55"/>
      <c r="VGK28" s="53"/>
      <c r="VGO28" s="28"/>
      <c r="VGQ28" s="55"/>
      <c r="VGR28" s="53"/>
      <c r="VGV28" s="28"/>
      <c r="VGX28" s="55"/>
      <c r="VGY28" s="53"/>
      <c r="VHC28" s="28"/>
      <c r="VHE28" s="55"/>
      <c r="VHF28" s="53"/>
      <c r="VHJ28" s="28"/>
      <c r="VHL28" s="55"/>
      <c r="VHM28" s="53"/>
      <c r="VHQ28" s="28"/>
      <c r="VHS28" s="55"/>
      <c r="VHT28" s="53"/>
      <c r="VHX28" s="28"/>
      <c r="VHZ28" s="55"/>
      <c r="VIA28" s="53"/>
      <c r="VIE28" s="28"/>
      <c r="VIG28" s="55"/>
      <c r="VIH28" s="53"/>
      <c r="VIL28" s="28"/>
      <c r="VIN28" s="55"/>
      <c r="VIO28" s="53"/>
      <c r="VIS28" s="28"/>
      <c r="VIU28" s="55"/>
      <c r="VIV28" s="53"/>
      <c r="VIZ28" s="28"/>
      <c r="VJB28" s="55"/>
      <c r="VJC28" s="53"/>
      <c r="VJG28" s="28"/>
      <c r="VJI28" s="55"/>
      <c r="VJJ28" s="53"/>
      <c r="VJN28" s="28"/>
      <c r="VJP28" s="55"/>
      <c r="VJQ28" s="53"/>
      <c r="VJU28" s="28"/>
      <c r="VJW28" s="55"/>
      <c r="VJX28" s="53"/>
      <c r="VKB28" s="28"/>
      <c r="VKD28" s="55"/>
      <c r="VKE28" s="53"/>
      <c r="VKI28" s="28"/>
      <c r="VKK28" s="55"/>
      <c r="VKL28" s="53"/>
      <c r="VKP28" s="28"/>
      <c r="VKR28" s="55"/>
      <c r="VKS28" s="53"/>
      <c r="VKW28" s="28"/>
      <c r="VKY28" s="55"/>
      <c r="VKZ28" s="53"/>
      <c r="VLD28" s="28"/>
      <c r="VLF28" s="55"/>
      <c r="VLG28" s="53"/>
      <c r="VLK28" s="28"/>
      <c r="VLM28" s="55"/>
      <c r="VLN28" s="53"/>
      <c r="VLR28" s="28"/>
      <c r="VLT28" s="55"/>
      <c r="VLU28" s="53"/>
      <c r="VLY28" s="28"/>
      <c r="VMA28" s="55"/>
      <c r="VMB28" s="53"/>
      <c r="VMF28" s="28"/>
      <c r="VMH28" s="55"/>
      <c r="VMI28" s="53"/>
      <c r="VMM28" s="28"/>
      <c r="VMO28" s="55"/>
      <c r="VMP28" s="53"/>
      <c r="VMT28" s="28"/>
      <c r="VMV28" s="55"/>
      <c r="VMW28" s="53"/>
      <c r="VNA28" s="28"/>
      <c r="VNC28" s="55"/>
      <c r="VND28" s="53"/>
      <c r="VNH28" s="28"/>
      <c r="VNJ28" s="55"/>
      <c r="VNK28" s="53"/>
      <c r="VNO28" s="28"/>
      <c r="VNQ28" s="55"/>
      <c r="VNR28" s="53"/>
      <c r="VNV28" s="28"/>
      <c r="VNX28" s="55"/>
      <c r="VNY28" s="53"/>
      <c r="VOC28" s="28"/>
      <c r="VOE28" s="55"/>
      <c r="VOF28" s="53"/>
      <c r="VOJ28" s="28"/>
      <c r="VOL28" s="55"/>
      <c r="VOM28" s="53"/>
      <c r="VOQ28" s="28"/>
      <c r="VOS28" s="55"/>
      <c r="VOT28" s="53"/>
      <c r="VOX28" s="28"/>
      <c r="VOZ28" s="55"/>
      <c r="VPA28" s="53"/>
      <c r="VPE28" s="28"/>
      <c r="VPG28" s="55"/>
      <c r="VPH28" s="53"/>
      <c r="VPL28" s="28"/>
      <c r="VPN28" s="55"/>
      <c r="VPO28" s="53"/>
      <c r="VPS28" s="28"/>
      <c r="VPU28" s="55"/>
      <c r="VPV28" s="53"/>
      <c r="VPZ28" s="28"/>
      <c r="VQB28" s="55"/>
      <c r="VQC28" s="53"/>
      <c r="VQG28" s="28"/>
      <c r="VQI28" s="55"/>
      <c r="VQJ28" s="53"/>
      <c r="VQN28" s="28"/>
      <c r="VQP28" s="55"/>
      <c r="VQQ28" s="53"/>
      <c r="VQU28" s="28"/>
      <c r="VQW28" s="55"/>
      <c r="VQX28" s="53"/>
      <c r="VRB28" s="28"/>
      <c r="VRD28" s="55"/>
      <c r="VRE28" s="53"/>
      <c r="VRI28" s="28"/>
      <c r="VRK28" s="55"/>
      <c r="VRL28" s="53"/>
      <c r="VRP28" s="28"/>
      <c r="VRR28" s="55"/>
      <c r="VRS28" s="53"/>
      <c r="VRW28" s="28"/>
      <c r="VRY28" s="55"/>
      <c r="VRZ28" s="53"/>
      <c r="VSD28" s="28"/>
      <c r="VSF28" s="55"/>
      <c r="VSG28" s="53"/>
      <c r="VSK28" s="28"/>
      <c r="VSM28" s="55"/>
      <c r="VSN28" s="53"/>
      <c r="VSR28" s="28"/>
      <c r="VST28" s="55"/>
      <c r="VSU28" s="53"/>
      <c r="VSY28" s="28"/>
      <c r="VTA28" s="55"/>
      <c r="VTB28" s="53"/>
      <c r="VTF28" s="28"/>
      <c r="VTH28" s="55"/>
      <c r="VTI28" s="53"/>
      <c r="VTM28" s="28"/>
      <c r="VTO28" s="55"/>
      <c r="VTP28" s="53"/>
      <c r="VTT28" s="28"/>
      <c r="VTV28" s="55"/>
      <c r="VTW28" s="53"/>
      <c r="VUA28" s="28"/>
      <c r="VUC28" s="55"/>
      <c r="VUD28" s="53"/>
      <c r="VUH28" s="28"/>
      <c r="VUJ28" s="55"/>
      <c r="VUK28" s="53"/>
      <c r="VUO28" s="28"/>
      <c r="VUQ28" s="55"/>
      <c r="VUR28" s="53"/>
      <c r="VUV28" s="28"/>
      <c r="VUX28" s="55"/>
      <c r="VUY28" s="53"/>
      <c r="VVC28" s="28"/>
      <c r="VVE28" s="55"/>
      <c r="VVF28" s="53"/>
      <c r="VVJ28" s="28"/>
      <c r="VVL28" s="55"/>
      <c r="VVM28" s="53"/>
      <c r="VVQ28" s="28"/>
      <c r="VVS28" s="55"/>
      <c r="VVT28" s="53"/>
      <c r="VVX28" s="28"/>
      <c r="VVZ28" s="55"/>
      <c r="VWA28" s="53"/>
      <c r="VWE28" s="28"/>
      <c r="VWG28" s="55"/>
      <c r="VWH28" s="53"/>
      <c r="VWL28" s="28"/>
      <c r="VWN28" s="55"/>
      <c r="VWO28" s="53"/>
      <c r="VWS28" s="28"/>
      <c r="VWU28" s="55"/>
      <c r="VWV28" s="53"/>
      <c r="VWZ28" s="28"/>
      <c r="VXB28" s="55"/>
      <c r="VXC28" s="53"/>
      <c r="VXG28" s="28"/>
      <c r="VXI28" s="55"/>
      <c r="VXJ28" s="53"/>
      <c r="VXN28" s="28"/>
      <c r="VXP28" s="55"/>
      <c r="VXQ28" s="53"/>
      <c r="VXU28" s="28"/>
      <c r="VXW28" s="55"/>
      <c r="VXX28" s="53"/>
      <c r="VYB28" s="28"/>
      <c r="VYD28" s="55"/>
      <c r="VYE28" s="53"/>
      <c r="VYI28" s="28"/>
      <c r="VYK28" s="55"/>
      <c r="VYL28" s="53"/>
      <c r="VYP28" s="28"/>
      <c r="VYR28" s="55"/>
      <c r="VYS28" s="53"/>
      <c r="VYW28" s="28"/>
      <c r="VYY28" s="55"/>
      <c r="VYZ28" s="53"/>
      <c r="VZD28" s="28"/>
      <c r="VZF28" s="55"/>
      <c r="VZG28" s="53"/>
      <c r="VZK28" s="28"/>
      <c r="VZM28" s="55"/>
      <c r="VZN28" s="53"/>
      <c r="VZR28" s="28"/>
      <c r="VZT28" s="55"/>
      <c r="VZU28" s="53"/>
      <c r="VZY28" s="28"/>
      <c r="WAA28" s="55"/>
      <c r="WAB28" s="53"/>
      <c r="WAF28" s="28"/>
      <c r="WAH28" s="55"/>
      <c r="WAI28" s="53"/>
      <c r="WAM28" s="28"/>
      <c r="WAO28" s="55"/>
      <c r="WAP28" s="53"/>
      <c r="WAT28" s="28"/>
      <c r="WAV28" s="55"/>
      <c r="WAW28" s="53"/>
      <c r="WBA28" s="28"/>
      <c r="WBC28" s="55"/>
      <c r="WBD28" s="53"/>
      <c r="WBH28" s="28"/>
      <c r="WBJ28" s="55"/>
      <c r="WBK28" s="53"/>
      <c r="WBO28" s="28"/>
      <c r="WBQ28" s="55"/>
      <c r="WBR28" s="53"/>
      <c r="WBV28" s="28"/>
      <c r="WBX28" s="55"/>
      <c r="WBY28" s="53"/>
      <c r="WCC28" s="28"/>
      <c r="WCE28" s="55"/>
      <c r="WCF28" s="53"/>
      <c r="WCJ28" s="28"/>
      <c r="WCL28" s="55"/>
      <c r="WCM28" s="53"/>
      <c r="WCQ28" s="28"/>
      <c r="WCS28" s="55"/>
      <c r="WCT28" s="53"/>
      <c r="WCX28" s="28"/>
      <c r="WCZ28" s="55"/>
      <c r="WDA28" s="53"/>
      <c r="WDE28" s="28"/>
      <c r="WDG28" s="55"/>
      <c r="WDH28" s="53"/>
      <c r="WDL28" s="28"/>
      <c r="WDN28" s="55"/>
      <c r="WDO28" s="53"/>
      <c r="WDS28" s="28"/>
      <c r="WDU28" s="55"/>
      <c r="WDV28" s="53"/>
      <c r="WDZ28" s="28"/>
      <c r="WEB28" s="55"/>
      <c r="WEC28" s="53"/>
      <c r="WEG28" s="28"/>
      <c r="WEI28" s="55"/>
      <c r="WEJ28" s="53"/>
      <c r="WEN28" s="28"/>
      <c r="WEP28" s="55"/>
      <c r="WEQ28" s="53"/>
      <c r="WEU28" s="28"/>
      <c r="WEW28" s="55"/>
      <c r="WEX28" s="53"/>
      <c r="WFB28" s="28"/>
      <c r="WFD28" s="55"/>
      <c r="WFE28" s="53"/>
      <c r="WFI28" s="28"/>
      <c r="WFK28" s="55"/>
      <c r="WFL28" s="53"/>
      <c r="WFP28" s="28"/>
      <c r="WFR28" s="55"/>
      <c r="WFS28" s="53"/>
      <c r="WFW28" s="28"/>
      <c r="WFY28" s="55"/>
      <c r="WFZ28" s="53"/>
      <c r="WGD28" s="28"/>
      <c r="WGF28" s="55"/>
      <c r="WGG28" s="53"/>
      <c r="WGK28" s="28"/>
      <c r="WGM28" s="55"/>
      <c r="WGN28" s="53"/>
      <c r="WGR28" s="28"/>
      <c r="WGT28" s="55"/>
      <c r="WGU28" s="53"/>
      <c r="WGY28" s="28"/>
      <c r="WHA28" s="55"/>
      <c r="WHB28" s="53"/>
      <c r="WHF28" s="28"/>
      <c r="WHH28" s="55"/>
      <c r="WHI28" s="53"/>
      <c r="WHM28" s="28"/>
      <c r="WHO28" s="55"/>
      <c r="WHP28" s="53"/>
      <c r="WHT28" s="28"/>
      <c r="WHV28" s="55"/>
      <c r="WHW28" s="53"/>
      <c r="WIA28" s="28"/>
      <c r="WIC28" s="55"/>
      <c r="WID28" s="53"/>
      <c r="WIH28" s="28"/>
      <c r="WIJ28" s="55"/>
      <c r="WIK28" s="53"/>
      <c r="WIO28" s="28"/>
      <c r="WIQ28" s="55"/>
      <c r="WIR28" s="53"/>
      <c r="WIV28" s="28"/>
      <c r="WIX28" s="55"/>
      <c r="WIY28" s="53"/>
      <c r="WJC28" s="28"/>
      <c r="WJE28" s="55"/>
      <c r="WJF28" s="53"/>
      <c r="WJJ28" s="28"/>
      <c r="WJL28" s="55"/>
      <c r="WJM28" s="53"/>
      <c r="WJQ28" s="28"/>
      <c r="WJS28" s="55"/>
      <c r="WJT28" s="53"/>
      <c r="WJX28" s="28"/>
      <c r="WJZ28" s="55"/>
      <c r="WKA28" s="53"/>
      <c r="WKE28" s="28"/>
      <c r="WKG28" s="55"/>
      <c r="WKH28" s="53"/>
      <c r="WKL28" s="28"/>
      <c r="WKN28" s="55"/>
      <c r="WKO28" s="53"/>
      <c r="WKS28" s="28"/>
      <c r="WKU28" s="55"/>
      <c r="WKV28" s="53"/>
      <c r="WKZ28" s="28"/>
      <c r="WLB28" s="55"/>
      <c r="WLC28" s="53"/>
      <c r="WLG28" s="28"/>
      <c r="WLI28" s="55"/>
      <c r="WLJ28" s="53"/>
      <c r="WLN28" s="28"/>
      <c r="WLP28" s="55"/>
      <c r="WLQ28" s="53"/>
      <c r="WLU28" s="28"/>
      <c r="WLW28" s="55"/>
      <c r="WLX28" s="53"/>
      <c r="WMB28" s="28"/>
      <c r="WMD28" s="55"/>
      <c r="WME28" s="53"/>
      <c r="WMI28" s="28"/>
      <c r="WMK28" s="55"/>
      <c r="WML28" s="53"/>
      <c r="WMP28" s="28"/>
      <c r="WMR28" s="55"/>
      <c r="WMS28" s="53"/>
      <c r="WMW28" s="28"/>
      <c r="WMY28" s="55"/>
      <c r="WMZ28" s="53"/>
      <c r="WND28" s="28"/>
      <c r="WNF28" s="55"/>
      <c r="WNG28" s="53"/>
      <c r="WNK28" s="28"/>
      <c r="WNM28" s="55"/>
      <c r="WNN28" s="53"/>
      <c r="WNR28" s="28"/>
      <c r="WNT28" s="55"/>
      <c r="WNU28" s="53"/>
      <c r="WNY28" s="28"/>
      <c r="WOA28" s="55"/>
      <c r="WOB28" s="53"/>
      <c r="WOF28" s="28"/>
      <c r="WOH28" s="55"/>
      <c r="WOI28" s="53"/>
      <c r="WOM28" s="28"/>
      <c r="WOO28" s="55"/>
      <c r="WOP28" s="53"/>
      <c r="WOT28" s="28"/>
      <c r="WOV28" s="55"/>
      <c r="WOW28" s="53"/>
      <c r="WPA28" s="28"/>
      <c r="WPC28" s="55"/>
      <c r="WPD28" s="53"/>
      <c r="WPH28" s="28"/>
      <c r="WPJ28" s="55"/>
      <c r="WPK28" s="53"/>
      <c r="WPO28" s="28"/>
      <c r="WPQ28" s="55"/>
      <c r="WPR28" s="53"/>
      <c r="WPV28" s="28"/>
      <c r="WPX28" s="55"/>
      <c r="WPY28" s="53"/>
      <c r="WQC28" s="28"/>
      <c r="WQE28" s="55"/>
      <c r="WQF28" s="53"/>
      <c r="WQJ28" s="28"/>
      <c r="WQL28" s="55"/>
      <c r="WQM28" s="53"/>
      <c r="WQQ28" s="28"/>
      <c r="WQS28" s="55"/>
      <c r="WQT28" s="53"/>
      <c r="WQX28" s="28"/>
      <c r="WQZ28" s="55"/>
      <c r="WRA28" s="53"/>
      <c r="WRE28" s="28"/>
      <c r="WRG28" s="55"/>
      <c r="WRH28" s="53"/>
      <c r="WRL28" s="28"/>
      <c r="WRN28" s="55"/>
      <c r="WRO28" s="53"/>
      <c r="WRS28" s="28"/>
      <c r="WRU28" s="55"/>
      <c r="WRV28" s="53"/>
      <c r="WRZ28" s="28"/>
      <c r="WSB28" s="55"/>
      <c r="WSC28" s="53"/>
      <c r="WSG28" s="28"/>
      <c r="WSI28" s="55"/>
      <c r="WSJ28" s="53"/>
      <c r="WSN28" s="28"/>
      <c r="WSP28" s="55"/>
      <c r="WSQ28" s="53"/>
      <c r="WSU28" s="28"/>
      <c r="WSW28" s="55"/>
      <c r="WSX28" s="53"/>
      <c r="WTB28" s="28"/>
      <c r="WTD28" s="55"/>
      <c r="WTE28" s="53"/>
      <c r="WTI28" s="28"/>
      <c r="WTK28" s="55"/>
      <c r="WTL28" s="53"/>
      <c r="WTP28" s="28"/>
      <c r="WTR28" s="55"/>
      <c r="WTS28" s="53"/>
      <c r="WTW28" s="28"/>
      <c r="WTY28" s="55"/>
      <c r="WTZ28" s="53"/>
      <c r="WUD28" s="28"/>
      <c r="WUF28" s="55"/>
      <c r="WUG28" s="53"/>
      <c r="WUK28" s="28"/>
      <c r="WUM28" s="55"/>
      <c r="WUN28" s="53"/>
      <c r="WUR28" s="28"/>
      <c r="WUT28" s="55"/>
      <c r="WUU28" s="53"/>
      <c r="WUY28" s="28"/>
      <c r="WVA28" s="55"/>
      <c r="WVB28" s="53"/>
      <c r="WVF28" s="28"/>
      <c r="WVH28" s="55"/>
      <c r="WVI28" s="53"/>
      <c r="WVM28" s="28"/>
      <c r="WVO28" s="55"/>
      <c r="WVP28" s="53"/>
      <c r="WVT28" s="28"/>
      <c r="WVV28" s="55"/>
      <c r="WVW28" s="53"/>
      <c r="WWA28" s="28"/>
      <c r="WWC28" s="55"/>
      <c r="WWD28" s="53"/>
      <c r="WWH28" s="28"/>
      <c r="WWJ28" s="55"/>
      <c r="WWK28" s="53"/>
      <c r="WWO28" s="28"/>
      <c r="WWQ28" s="55"/>
      <c r="WWR28" s="53"/>
      <c r="WWV28" s="28"/>
      <c r="WWX28" s="55"/>
      <c r="WWY28" s="53"/>
      <c r="WXC28" s="28"/>
      <c r="WXE28" s="55"/>
      <c r="WXF28" s="53"/>
      <c r="WXJ28" s="28"/>
      <c r="WXL28" s="55"/>
      <c r="WXM28" s="53"/>
      <c r="WXQ28" s="28"/>
      <c r="WXS28" s="55"/>
      <c r="WXT28" s="53"/>
      <c r="WXX28" s="28"/>
      <c r="WXZ28" s="55"/>
      <c r="WYA28" s="53"/>
      <c r="WYE28" s="28"/>
      <c r="WYG28" s="55"/>
      <c r="WYH28" s="53"/>
      <c r="WYL28" s="28"/>
      <c r="WYN28" s="55"/>
      <c r="WYO28" s="53"/>
      <c r="WYS28" s="28"/>
      <c r="WYU28" s="55"/>
      <c r="WYV28" s="53"/>
      <c r="WYZ28" s="28"/>
      <c r="WZB28" s="55"/>
      <c r="WZC28" s="53"/>
      <c r="WZG28" s="28"/>
      <c r="WZI28" s="55"/>
      <c r="WZJ28" s="53"/>
      <c r="WZN28" s="28"/>
      <c r="WZP28" s="55"/>
      <c r="WZQ28" s="53"/>
      <c r="WZU28" s="28"/>
      <c r="WZW28" s="55"/>
      <c r="WZX28" s="53"/>
      <c r="XAB28" s="28"/>
      <c r="XAD28" s="55"/>
      <c r="XAE28" s="53"/>
      <c r="XAI28" s="28"/>
      <c r="XAK28" s="55"/>
      <c r="XAL28" s="53"/>
      <c r="XAP28" s="28"/>
      <c r="XAR28" s="55"/>
      <c r="XAS28" s="53"/>
      <c r="XAW28" s="28"/>
      <c r="XAY28" s="55"/>
      <c r="XAZ28" s="53"/>
      <c r="XBD28" s="28"/>
      <c r="XBF28" s="55"/>
      <c r="XBG28" s="53"/>
      <c r="XBK28" s="28"/>
      <c r="XBM28" s="55"/>
      <c r="XBN28" s="53"/>
      <c r="XBR28" s="28"/>
      <c r="XBT28" s="55"/>
      <c r="XBU28" s="53"/>
      <c r="XBY28" s="28"/>
      <c r="XCA28" s="55"/>
      <c r="XCB28" s="53"/>
      <c r="XCF28" s="28"/>
      <c r="XCH28" s="55"/>
      <c r="XCI28" s="53"/>
      <c r="XCM28" s="28"/>
      <c r="XCO28" s="55"/>
      <c r="XCP28" s="53"/>
      <c r="XCT28" s="28"/>
      <c r="XCV28" s="55"/>
      <c r="XCW28" s="53"/>
      <c r="XDA28" s="28"/>
      <c r="XDC28" s="55"/>
      <c r="XDD28" s="53"/>
      <c r="XDH28" s="28"/>
      <c r="XDJ28" s="55"/>
      <c r="XDK28" s="53"/>
      <c r="XDO28" s="28"/>
      <c r="XDQ28" s="55"/>
      <c r="XDR28" s="53"/>
      <c r="XDV28" s="28"/>
      <c r="XDX28" s="55"/>
      <c r="XDY28" s="53"/>
      <c r="XEC28" s="28"/>
      <c r="XEE28" s="55"/>
      <c r="XEF28" s="53"/>
      <c r="XEJ28" s="28"/>
      <c r="XEL28" s="55"/>
      <c r="XEM28" s="53"/>
      <c r="XEQ28" s="28"/>
      <c r="XES28" s="55"/>
      <c r="XET28" s="53"/>
      <c r="XEX28" s="28"/>
      <c r="XEZ28" s="55"/>
      <c r="XFA28" s="53"/>
    </row>
    <row r="29" spans="1:1023 1027:2045 2049:3071 3073:4096 4100:5118 5122:6144 6146:8191 8195:9213 9217:10239 10241:11264 11268:12286 12290:13312 13314:15359 15363:16381" s="54" customFormat="1" ht="15" customHeight="1">
      <c r="A29" s="44" t="s">
        <v>232</v>
      </c>
      <c r="B29" s="45" t="s">
        <v>233</v>
      </c>
      <c r="C29" s="45" t="s">
        <v>234</v>
      </c>
      <c r="D29" s="45" t="s">
        <v>235</v>
      </c>
      <c r="E29" s="39">
        <v>25000</v>
      </c>
      <c r="F29" s="45" t="s">
        <v>108</v>
      </c>
      <c r="G29" s="56" t="s">
        <v>236</v>
      </c>
      <c r="H29" s="53"/>
      <c r="L29" s="28"/>
      <c r="N29" s="55"/>
      <c r="O29" s="53"/>
      <c r="S29" s="28"/>
      <c r="U29" s="55"/>
      <c r="V29" s="53"/>
      <c r="Z29" s="28"/>
      <c r="AB29" s="55"/>
      <c r="AC29" s="53"/>
      <c r="AG29" s="28"/>
      <c r="AI29" s="55"/>
      <c r="AJ29" s="53"/>
      <c r="AN29" s="28"/>
      <c r="AP29" s="55"/>
      <c r="AQ29" s="53"/>
      <c r="AU29" s="28"/>
      <c r="AW29" s="55"/>
      <c r="AX29" s="53"/>
      <c r="BB29" s="28"/>
      <c r="BD29" s="55"/>
      <c r="BE29" s="53"/>
      <c r="BI29" s="28"/>
      <c r="BK29" s="55"/>
      <c r="BL29" s="53"/>
      <c r="BP29" s="28"/>
      <c r="BR29" s="55"/>
      <c r="BS29" s="53"/>
      <c r="BW29" s="28"/>
      <c r="BY29" s="55"/>
      <c r="BZ29" s="53"/>
      <c r="CD29" s="28"/>
      <c r="CF29" s="55"/>
      <c r="CG29" s="53"/>
      <c r="CK29" s="28"/>
      <c r="CM29" s="55"/>
      <c r="CN29" s="53"/>
      <c r="CR29" s="28"/>
      <c r="CT29" s="55"/>
      <c r="CU29" s="53"/>
      <c r="CY29" s="28"/>
      <c r="DA29" s="55"/>
      <c r="DB29" s="53"/>
      <c r="DF29" s="28"/>
      <c r="DH29" s="55"/>
      <c r="DI29" s="53"/>
      <c r="DM29" s="28"/>
      <c r="DO29" s="55"/>
      <c r="DP29" s="53"/>
      <c r="DT29" s="28"/>
      <c r="DV29" s="55"/>
      <c r="DW29" s="53"/>
      <c r="EA29" s="28"/>
      <c r="EC29" s="55"/>
      <c r="ED29" s="53"/>
      <c r="EH29" s="28"/>
      <c r="EJ29" s="55"/>
      <c r="EK29" s="53"/>
      <c r="EO29" s="28"/>
      <c r="EQ29" s="55"/>
      <c r="ER29" s="53"/>
      <c r="EV29" s="28"/>
      <c r="EX29" s="55"/>
      <c r="EY29" s="53"/>
      <c r="FC29" s="28"/>
      <c r="FE29" s="55"/>
      <c r="FF29" s="53"/>
      <c r="FJ29" s="28"/>
      <c r="FL29" s="55"/>
      <c r="FM29" s="53"/>
      <c r="FQ29" s="28"/>
      <c r="FS29" s="55"/>
      <c r="FT29" s="53"/>
      <c r="FX29" s="28"/>
      <c r="FZ29" s="55"/>
      <c r="GA29" s="53"/>
      <c r="GE29" s="28"/>
      <c r="GG29" s="55"/>
      <c r="GH29" s="53"/>
      <c r="GL29" s="28"/>
      <c r="GN29" s="55"/>
      <c r="GO29" s="53"/>
      <c r="GS29" s="28"/>
      <c r="GU29" s="55"/>
      <c r="GV29" s="53"/>
      <c r="GZ29" s="28"/>
      <c r="HB29" s="55"/>
      <c r="HC29" s="53"/>
      <c r="HG29" s="28"/>
      <c r="HI29" s="55"/>
      <c r="HJ29" s="53"/>
      <c r="HN29" s="28"/>
      <c r="HP29" s="55"/>
      <c r="HQ29" s="53"/>
      <c r="HU29" s="28"/>
      <c r="HW29" s="55"/>
      <c r="HX29" s="53"/>
      <c r="IB29" s="28"/>
      <c r="ID29" s="55"/>
      <c r="IE29" s="53"/>
      <c r="II29" s="28"/>
      <c r="IK29" s="55"/>
      <c r="IL29" s="53"/>
      <c r="IP29" s="28"/>
      <c r="IR29" s="55"/>
      <c r="IS29" s="53"/>
      <c r="IW29" s="28"/>
      <c r="IY29" s="55"/>
      <c r="IZ29" s="53"/>
      <c r="JD29" s="28"/>
      <c r="JF29" s="55"/>
      <c r="JG29" s="53"/>
      <c r="JK29" s="28"/>
      <c r="JM29" s="55"/>
      <c r="JN29" s="53"/>
      <c r="JR29" s="28"/>
      <c r="JT29" s="55"/>
      <c r="JU29" s="53"/>
      <c r="JY29" s="28"/>
      <c r="KA29" s="55"/>
      <c r="KB29" s="53"/>
      <c r="KF29" s="28"/>
      <c r="KH29" s="55"/>
      <c r="KI29" s="53"/>
      <c r="KM29" s="28"/>
      <c r="KO29" s="55"/>
      <c r="KP29" s="53"/>
      <c r="KT29" s="28"/>
      <c r="KV29" s="55"/>
      <c r="KW29" s="53"/>
      <c r="LA29" s="28"/>
      <c r="LC29" s="55"/>
      <c r="LD29" s="53"/>
      <c r="LH29" s="28"/>
      <c r="LJ29" s="55"/>
      <c r="LK29" s="53"/>
      <c r="LO29" s="28"/>
      <c r="LQ29" s="55"/>
      <c r="LR29" s="53"/>
      <c r="LV29" s="28"/>
      <c r="LX29" s="55"/>
      <c r="LY29" s="53"/>
      <c r="MC29" s="28"/>
      <c r="ME29" s="55"/>
      <c r="MF29" s="53"/>
      <c r="MJ29" s="28"/>
      <c r="ML29" s="55"/>
      <c r="MM29" s="53"/>
      <c r="MQ29" s="28"/>
      <c r="MS29" s="55"/>
      <c r="MT29" s="53"/>
      <c r="MX29" s="28"/>
      <c r="MZ29" s="55"/>
      <c r="NA29" s="53"/>
      <c r="NE29" s="28"/>
      <c r="NG29" s="55"/>
      <c r="NH29" s="53"/>
      <c r="NL29" s="28"/>
      <c r="NN29" s="55"/>
      <c r="NO29" s="53"/>
      <c r="NS29" s="28"/>
      <c r="NU29" s="55"/>
      <c r="NV29" s="53"/>
      <c r="NZ29" s="28"/>
      <c r="OB29" s="55"/>
      <c r="OC29" s="53"/>
      <c r="OG29" s="28"/>
      <c r="OI29" s="55"/>
      <c r="OJ29" s="53"/>
      <c r="ON29" s="28"/>
      <c r="OP29" s="55"/>
      <c r="OQ29" s="53"/>
      <c r="OU29" s="28"/>
      <c r="OW29" s="55"/>
      <c r="OX29" s="53"/>
      <c r="PB29" s="28"/>
      <c r="PD29" s="55"/>
      <c r="PE29" s="53"/>
      <c r="PI29" s="28"/>
      <c r="PK29" s="55"/>
      <c r="PL29" s="53"/>
      <c r="PP29" s="28"/>
      <c r="PR29" s="55"/>
      <c r="PS29" s="53"/>
      <c r="PW29" s="28"/>
      <c r="PY29" s="55"/>
      <c r="PZ29" s="53"/>
      <c r="QD29" s="28"/>
      <c r="QF29" s="55"/>
      <c r="QG29" s="53"/>
      <c r="QK29" s="28"/>
      <c r="QM29" s="55"/>
      <c r="QN29" s="53"/>
      <c r="QR29" s="28"/>
      <c r="QT29" s="55"/>
      <c r="QU29" s="53"/>
      <c r="QY29" s="28"/>
      <c r="RA29" s="55"/>
      <c r="RB29" s="53"/>
      <c r="RF29" s="28"/>
      <c r="RH29" s="55"/>
      <c r="RI29" s="53"/>
      <c r="RM29" s="28"/>
      <c r="RO29" s="55"/>
      <c r="RP29" s="53"/>
      <c r="RT29" s="28"/>
      <c r="RV29" s="55"/>
      <c r="RW29" s="53"/>
      <c r="SA29" s="28"/>
      <c r="SC29" s="55"/>
      <c r="SD29" s="53"/>
      <c r="SH29" s="28"/>
      <c r="SJ29" s="55"/>
      <c r="SK29" s="53"/>
      <c r="SO29" s="28"/>
      <c r="SQ29" s="55"/>
      <c r="SR29" s="53"/>
      <c r="SV29" s="28"/>
      <c r="SX29" s="55"/>
      <c r="SY29" s="53"/>
      <c r="TC29" s="28"/>
      <c r="TE29" s="55"/>
      <c r="TF29" s="53"/>
      <c r="TJ29" s="28"/>
      <c r="TL29" s="55"/>
      <c r="TM29" s="53"/>
      <c r="TQ29" s="28"/>
      <c r="TS29" s="55"/>
      <c r="TT29" s="53"/>
      <c r="TX29" s="28"/>
      <c r="TZ29" s="55"/>
      <c r="UA29" s="53"/>
      <c r="UE29" s="28"/>
      <c r="UG29" s="55"/>
      <c r="UH29" s="53"/>
      <c r="UL29" s="28"/>
      <c r="UN29" s="55"/>
      <c r="UO29" s="53"/>
      <c r="US29" s="28"/>
      <c r="UU29" s="55"/>
      <c r="UV29" s="53"/>
      <c r="UZ29" s="28"/>
      <c r="VB29" s="55"/>
      <c r="VC29" s="53"/>
      <c r="VG29" s="28"/>
      <c r="VI29" s="55"/>
      <c r="VJ29" s="53"/>
      <c r="VN29" s="28"/>
      <c r="VP29" s="55"/>
      <c r="VQ29" s="53"/>
      <c r="VU29" s="28"/>
      <c r="VW29" s="55"/>
      <c r="VX29" s="53"/>
      <c r="WB29" s="28"/>
      <c r="WD29" s="55"/>
      <c r="WE29" s="53"/>
      <c r="WI29" s="28"/>
      <c r="WK29" s="55"/>
      <c r="WL29" s="53"/>
      <c r="WP29" s="28"/>
      <c r="WR29" s="55"/>
      <c r="WS29" s="53"/>
      <c r="WW29" s="28"/>
      <c r="WY29" s="55"/>
      <c r="WZ29" s="53"/>
      <c r="XD29" s="28"/>
      <c r="XF29" s="55"/>
      <c r="XG29" s="53"/>
      <c r="XK29" s="28"/>
      <c r="XM29" s="55"/>
      <c r="XN29" s="53"/>
      <c r="XR29" s="28"/>
      <c r="XT29" s="55"/>
      <c r="XU29" s="53"/>
      <c r="XY29" s="28"/>
      <c r="YA29" s="55"/>
      <c r="YB29" s="53"/>
      <c r="YF29" s="28"/>
      <c r="YH29" s="55"/>
      <c r="YI29" s="53"/>
      <c r="YM29" s="28"/>
      <c r="YO29" s="55"/>
      <c r="YP29" s="53"/>
      <c r="YT29" s="28"/>
      <c r="YV29" s="55"/>
      <c r="YW29" s="53"/>
      <c r="ZA29" s="28"/>
      <c r="ZC29" s="55"/>
      <c r="ZD29" s="53"/>
      <c r="ZH29" s="28"/>
      <c r="ZJ29" s="55"/>
      <c r="ZK29" s="53"/>
      <c r="ZO29" s="28"/>
      <c r="ZQ29" s="55"/>
      <c r="ZR29" s="53"/>
      <c r="ZV29" s="28"/>
      <c r="ZX29" s="55"/>
      <c r="ZY29" s="53"/>
      <c r="AAC29" s="28"/>
      <c r="AAE29" s="55"/>
      <c r="AAF29" s="53"/>
      <c r="AAJ29" s="28"/>
      <c r="AAL29" s="55"/>
      <c r="AAM29" s="53"/>
      <c r="AAQ29" s="28"/>
      <c r="AAS29" s="55"/>
      <c r="AAT29" s="53"/>
      <c r="AAX29" s="28"/>
      <c r="AAZ29" s="55"/>
      <c r="ABA29" s="53"/>
      <c r="ABE29" s="28"/>
      <c r="ABG29" s="55"/>
      <c r="ABH29" s="53"/>
      <c r="ABL29" s="28"/>
      <c r="ABN29" s="55"/>
      <c r="ABO29" s="53"/>
      <c r="ABS29" s="28"/>
      <c r="ABU29" s="55"/>
      <c r="ABV29" s="53"/>
      <c r="ABZ29" s="28"/>
      <c r="ACB29" s="55"/>
      <c r="ACC29" s="53"/>
      <c r="ACG29" s="28"/>
      <c r="ACI29" s="55"/>
      <c r="ACJ29" s="53"/>
      <c r="ACN29" s="28"/>
      <c r="ACP29" s="55"/>
      <c r="ACQ29" s="53"/>
      <c r="ACU29" s="28"/>
      <c r="ACW29" s="55"/>
      <c r="ACX29" s="53"/>
      <c r="ADB29" s="28"/>
      <c r="ADD29" s="55"/>
      <c r="ADE29" s="53"/>
      <c r="ADI29" s="28"/>
      <c r="ADK29" s="55"/>
      <c r="ADL29" s="53"/>
      <c r="ADP29" s="28"/>
      <c r="ADR29" s="55"/>
      <c r="ADS29" s="53"/>
      <c r="ADW29" s="28"/>
      <c r="ADY29" s="55"/>
      <c r="ADZ29" s="53"/>
      <c r="AED29" s="28"/>
      <c r="AEF29" s="55"/>
      <c r="AEG29" s="53"/>
      <c r="AEK29" s="28"/>
      <c r="AEM29" s="55"/>
      <c r="AEN29" s="53"/>
      <c r="AER29" s="28"/>
      <c r="AET29" s="55"/>
      <c r="AEU29" s="53"/>
      <c r="AEY29" s="28"/>
      <c r="AFA29" s="55"/>
      <c r="AFB29" s="53"/>
      <c r="AFF29" s="28"/>
      <c r="AFH29" s="55"/>
      <c r="AFI29" s="53"/>
      <c r="AFM29" s="28"/>
      <c r="AFO29" s="55"/>
      <c r="AFP29" s="53"/>
      <c r="AFT29" s="28"/>
      <c r="AFV29" s="55"/>
      <c r="AFW29" s="53"/>
      <c r="AGA29" s="28"/>
      <c r="AGC29" s="55"/>
      <c r="AGD29" s="53"/>
      <c r="AGH29" s="28"/>
      <c r="AGJ29" s="55"/>
      <c r="AGK29" s="53"/>
      <c r="AGO29" s="28"/>
      <c r="AGQ29" s="55"/>
      <c r="AGR29" s="53"/>
      <c r="AGV29" s="28"/>
      <c r="AGX29" s="55"/>
      <c r="AGY29" s="53"/>
      <c r="AHC29" s="28"/>
      <c r="AHE29" s="55"/>
      <c r="AHF29" s="53"/>
      <c r="AHJ29" s="28"/>
      <c r="AHL29" s="55"/>
      <c r="AHM29" s="53"/>
      <c r="AHQ29" s="28"/>
      <c r="AHS29" s="55"/>
      <c r="AHT29" s="53"/>
      <c r="AHX29" s="28"/>
      <c r="AHZ29" s="55"/>
      <c r="AIA29" s="53"/>
      <c r="AIE29" s="28"/>
      <c r="AIG29" s="55"/>
      <c r="AIH29" s="53"/>
      <c r="AIL29" s="28"/>
      <c r="AIN29" s="55"/>
      <c r="AIO29" s="53"/>
      <c r="AIS29" s="28"/>
      <c r="AIU29" s="55"/>
      <c r="AIV29" s="53"/>
      <c r="AIZ29" s="28"/>
      <c r="AJB29" s="55"/>
      <c r="AJC29" s="53"/>
      <c r="AJG29" s="28"/>
      <c r="AJI29" s="55"/>
      <c r="AJJ29" s="53"/>
      <c r="AJN29" s="28"/>
      <c r="AJP29" s="55"/>
      <c r="AJQ29" s="53"/>
      <c r="AJU29" s="28"/>
      <c r="AJW29" s="55"/>
      <c r="AJX29" s="53"/>
      <c r="AKB29" s="28"/>
      <c r="AKD29" s="55"/>
      <c r="AKE29" s="53"/>
      <c r="AKI29" s="28"/>
      <c r="AKK29" s="55"/>
      <c r="AKL29" s="53"/>
      <c r="AKP29" s="28"/>
      <c r="AKR29" s="55"/>
      <c r="AKS29" s="53"/>
      <c r="AKW29" s="28"/>
      <c r="AKY29" s="55"/>
      <c r="AKZ29" s="53"/>
      <c r="ALD29" s="28"/>
      <c r="ALF29" s="55"/>
      <c r="ALG29" s="53"/>
      <c r="ALK29" s="28"/>
      <c r="ALM29" s="55"/>
      <c r="ALN29" s="53"/>
      <c r="ALR29" s="28"/>
      <c r="ALT29" s="55"/>
      <c r="ALU29" s="53"/>
      <c r="ALY29" s="28"/>
      <c r="AMA29" s="55"/>
      <c r="AMB29" s="53"/>
      <c r="AMF29" s="28"/>
      <c r="AMH29" s="55"/>
      <c r="AMI29" s="53"/>
      <c r="AMM29" s="28"/>
      <c r="AMO29" s="55"/>
      <c r="AMP29" s="53"/>
      <c r="AMT29" s="28"/>
      <c r="AMV29" s="55"/>
      <c r="AMW29" s="53"/>
      <c r="ANA29" s="28"/>
      <c r="ANC29" s="55"/>
      <c r="AND29" s="53"/>
      <c r="ANH29" s="28"/>
      <c r="ANJ29" s="55"/>
      <c r="ANK29" s="53"/>
      <c r="ANO29" s="28"/>
      <c r="ANQ29" s="55"/>
      <c r="ANR29" s="53"/>
      <c r="ANV29" s="28"/>
      <c r="ANX29" s="55"/>
      <c r="ANY29" s="53"/>
      <c r="AOC29" s="28"/>
      <c r="AOE29" s="55"/>
      <c r="AOF29" s="53"/>
      <c r="AOJ29" s="28"/>
      <c r="AOL29" s="55"/>
      <c r="AOM29" s="53"/>
      <c r="AOQ29" s="28"/>
      <c r="AOS29" s="55"/>
      <c r="AOT29" s="53"/>
      <c r="AOX29" s="28"/>
      <c r="AOZ29" s="55"/>
      <c r="APA29" s="53"/>
      <c r="APE29" s="28"/>
      <c r="APG29" s="55"/>
      <c r="APH29" s="53"/>
      <c r="APL29" s="28"/>
      <c r="APN29" s="55"/>
      <c r="APO29" s="53"/>
      <c r="APS29" s="28"/>
      <c r="APU29" s="55"/>
      <c r="APV29" s="53"/>
      <c r="APZ29" s="28"/>
      <c r="AQB29" s="55"/>
      <c r="AQC29" s="53"/>
      <c r="AQG29" s="28"/>
      <c r="AQI29" s="55"/>
      <c r="AQJ29" s="53"/>
      <c r="AQN29" s="28"/>
      <c r="AQP29" s="55"/>
      <c r="AQQ29" s="53"/>
      <c r="AQU29" s="28"/>
      <c r="AQW29" s="55"/>
      <c r="AQX29" s="53"/>
      <c r="ARB29" s="28"/>
      <c r="ARD29" s="55"/>
      <c r="ARE29" s="53"/>
      <c r="ARI29" s="28"/>
      <c r="ARK29" s="55"/>
      <c r="ARL29" s="53"/>
      <c r="ARP29" s="28"/>
      <c r="ARR29" s="55"/>
      <c r="ARS29" s="53"/>
      <c r="ARW29" s="28"/>
      <c r="ARY29" s="55"/>
      <c r="ARZ29" s="53"/>
      <c r="ASD29" s="28"/>
      <c r="ASF29" s="55"/>
      <c r="ASG29" s="53"/>
      <c r="ASK29" s="28"/>
      <c r="ASM29" s="55"/>
      <c r="ASN29" s="53"/>
      <c r="ASR29" s="28"/>
      <c r="AST29" s="55"/>
      <c r="ASU29" s="53"/>
      <c r="ASY29" s="28"/>
      <c r="ATA29" s="55"/>
      <c r="ATB29" s="53"/>
      <c r="ATF29" s="28"/>
      <c r="ATH29" s="55"/>
      <c r="ATI29" s="53"/>
      <c r="ATM29" s="28"/>
      <c r="ATO29" s="55"/>
      <c r="ATP29" s="53"/>
      <c r="ATT29" s="28"/>
      <c r="ATV29" s="55"/>
      <c r="ATW29" s="53"/>
      <c r="AUA29" s="28"/>
      <c r="AUC29" s="55"/>
      <c r="AUD29" s="53"/>
      <c r="AUH29" s="28"/>
      <c r="AUJ29" s="55"/>
      <c r="AUK29" s="53"/>
      <c r="AUO29" s="28"/>
      <c r="AUQ29" s="55"/>
      <c r="AUR29" s="53"/>
      <c r="AUV29" s="28"/>
      <c r="AUX29" s="55"/>
      <c r="AUY29" s="53"/>
      <c r="AVC29" s="28"/>
      <c r="AVE29" s="55"/>
      <c r="AVF29" s="53"/>
      <c r="AVJ29" s="28"/>
      <c r="AVL29" s="55"/>
      <c r="AVM29" s="53"/>
      <c r="AVQ29" s="28"/>
      <c r="AVS29" s="55"/>
      <c r="AVT29" s="53"/>
      <c r="AVX29" s="28"/>
      <c r="AVZ29" s="55"/>
      <c r="AWA29" s="53"/>
      <c r="AWE29" s="28"/>
      <c r="AWG29" s="55"/>
      <c r="AWH29" s="53"/>
      <c r="AWL29" s="28"/>
      <c r="AWN29" s="55"/>
      <c r="AWO29" s="53"/>
      <c r="AWS29" s="28"/>
      <c r="AWU29" s="55"/>
      <c r="AWV29" s="53"/>
      <c r="AWZ29" s="28"/>
      <c r="AXB29" s="55"/>
      <c r="AXC29" s="53"/>
      <c r="AXG29" s="28"/>
      <c r="AXI29" s="55"/>
      <c r="AXJ29" s="53"/>
      <c r="AXN29" s="28"/>
      <c r="AXP29" s="55"/>
      <c r="AXQ29" s="53"/>
      <c r="AXU29" s="28"/>
      <c r="AXW29" s="55"/>
      <c r="AXX29" s="53"/>
      <c r="AYB29" s="28"/>
      <c r="AYD29" s="55"/>
      <c r="AYE29" s="53"/>
      <c r="AYI29" s="28"/>
      <c r="AYK29" s="55"/>
      <c r="AYL29" s="53"/>
      <c r="AYP29" s="28"/>
      <c r="AYR29" s="55"/>
      <c r="AYS29" s="53"/>
      <c r="AYW29" s="28"/>
      <c r="AYY29" s="55"/>
      <c r="AYZ29" s="53"/>
      <c r="AZD29" s="28"/>
      <c r="AZF29" s="55"/>
      <c r="AZG29" s="53"/>
      <c r="AZK29" s="28"/>
      <c r="AZM29" s="55"/>
      <c r="AZN29" s="53"/>
      <c r="AZR29" s="28"/>
      <c r="AZT29" s="55"/>
      <c r="AZU29" s="53"/>
      <c r="AZY29" s="28"/>
      <c r="BAA29" s="55"/>
      <c r="BAB29" s="53"/>
      <c r="BAF29" s="28"/>
      <c r="BAH29" s="55"/>
      <c r="BAI29" s="53"/>
      <c r="BAM29" s="28"/>
      <c r="BAO29" s="55"/>
      <c r="BAP29" s="53"/>
      <c r="BAT29" s="28"/>
      <c r="BAV29" s="55"/>
      <c r="BAW29" s="53"/>
      <c r="BBA29" s="28"/>
      <c r="BBC29" s="55"/>
      <c r="BBD29" s="53"/>
      <c r="BBH29" s="28"/>
      <c r="BBJ29" s="55"/>
      <c r="BBK29" s="53"/>
      <c r="BBO29" s="28"/>
      <c r="BBQ29" s="55"/>
      <c r="BBR29" s="53"/>
      <c r="BBV29" s="28"/>
      <c r="BBX29" s="55"/>
      <c r="BBY29" s="53"/>
      <c r="BCC29" s="28"/>
      <c r="BCE29" s="55"/>
      <c r="BCF29" s="53"/>
      <c r="BCJ29" s="28"/>
      <c r="BCL29" s="55"/>
      <c r="BCM29" s="53"/>
      <c r="BCQ29" s="28"/>
      <c r="BCS29" s="55"/>
      <c r="BCT29" s="53"/>
      <c r="BCX29" s="28"/>
      <c r="BCZ29" s="55"/>
      <c r="BDA29" s="53"/>
      <c r="BDE29" s="28"/>
      <c r="BDG29" s="55"/>
      <c r="BDH29" s="53"/>
      <c r="BDL29" s="28"/>
      <c r="BDN29" s="55"/>
      <c r="BDO29" s="53"/>
      <c r="BDS29" s="28"/>
      <c r="BDU29" s="55"/>
      <c r="BDV29" s="53"/>
      <c r="BDZ29" s="28"/>
      <c r="BEB29" s="55"/>
      <c r="BEC29" s="53"/>
      <c r="BEG29" s="28"/>
      <c r="BEI29" s="55"/>
      <c r="BEJ29" s="53"/>
      <c r="BEN29" s="28"/>
      <c r="BEP29" s="55"/>
      <c r="BEQ29" s="53"/>
      <c r="BEU29" s="28"/>
      <c r="BEW29" s="55"/>
      <c r="BEX29" s="53"/>
      <c r="BFB29" s="28"/>
      <c r="BFD29" s="55"/>
      <c r="BFE29" s="53"/>
      <c r="BFI29" s="28"/>
      <c r="BFK29" s="55"/>
      <c r="BFL29" s="53"/>
      <c r="BFP29" s="28"/>
      <c r="BFR29" s="55"/>
      <c r="BFS29" s="53"/>
      <c r="BFW29" s="28"/>
      <c r="BFY29" s="55"/>
      <c r="BFZ29" s="53"/>
      <c r="BGD29" s="28"/>
      <c r="BGF29" s="55"/>
      <c r="BGG29" s="53"/>
      <c r="BGK29" s="28"/>
      <c r="BGM29" s="55"/>
      <c r="BGN29" s="53"/>
      <c r="BGR29" s="28"/>
      <c r="BGT29" s="55"/>
      <c r="BGU29" s="53"/>
      <c r="BGY29" s="28"/>
      <c r="BHA29" s="55"/>
      <c r="BHB29" s="53"/>
      <c r="BHF29" s="28"/>
      <c r="BHH29" s="55"/>
      <c r="BHI29" s="53"/>
      <c r="BHM29" s="28"/>
      <c r="BHO29" s="55"/>
      <c r="BHP29" s="53"/>
      <c r="BHT29" s="28"/>
      <c r="BHV29" s="55"/>
      <c r="BHW29" s="53"/>
      <c r="BIA29" s="28"/>
      <c r="BIC29" s="55"/>
      <c r="BID29" s="53"/>
      <c r="BIH29" s="28"/>
      <c r="BIJ29" s="55"/>
      <c r="BIK29" s="53"/>
      <c r="BIO29" s="28"/>
      <c r="BIQ29" s="55"/>
      <c r="BIR29" s="53"/>
      <c r="BIV29" s="28"/>
      <c r="BIX29" s="55"/>
      <c r="BIY29" s="53"/>
      <c r="BJC29" s="28"/>
      <c r="BJE29" s="55"/>
      <c r="BJF29" s="53"/>
      <c r="BJJ29" s="28"/>
      <c r="BJL29" s="55"/>
      <c r="BJM29" s="53"/>
      <c r="BJQ29" s="28"/>
      <c r="BJS29" s="55"/>
      <c r="BJT29" s="53"/>
      <c r="BJX29" s="28"/>
      <c r="BJZ29" s="55"/>
      <c r="BKA29" s="53"/>
      <c r="BKE29" s="28"/>
      <c r="BKG29" s="55"/>
      <c r="BKH29" s="53"/>
      <c r="BKL29" s="28"/>
      <c r="BKN29" s="55"/>
      <c r="BKO29" s="53"/>
      <c r="BKS29" s="28"/>
      <c r="BKU29" s="55"/>
      <c r="BKV29" s="53"/>
      <c r="BKZ29" s="28"/>
      <c r="BLB29" s="55"/>
      <c r="BLC29" s="53"/>
      <c r="BLG29" s="28"/>
      <c r="BLI29" s="55"/>
      <c r="BLJ29" s="53"/>
      <c r="BLN29" s="28"/>
      <c r="BLP29" s="55"/>
      <c r="BLQ29" s="53"/>
      <c r="BLU29" s="28"/>
      <c r="BLW29" s="55"/>
      <c r="BLX29" s="53"/>
      <c r="BMB29" s="28"/>
      <c r="BMD29" s="55"/>
      <c r="BME29" s="53"/>
      <c r="BMI29" s="28"/>
      <c r="BMK29" s="55"/>
      <c r="BML29" s="53"/>
      <c r="BMP29" s="28"/>
      <c r="BMR29" s="55"/>
      <c r="BMS29" s="53"/>
      <c r="BMW29" s="28"/>
      <c r="BMY29" s="55"/>
      <c r="BMZ29" s="53"/>
      <c r="BND29" s="28"/>
      <c r="BNF29" s="55"/>
      <c r="BNG29" s="53"/>
      <c r="BNK29" s="28"/>
      <c r="BNM29" s="55"/>
      <c r="BNN29" s="53"/>
      <c r="BNR29" s="28"/>
      <c r="BNT29" s="55"/>
      <c r="BNU29" s="53"/>
      <c r="BNY29" s="28"/>
      <c r="BOA29" s="55"/>
      <c r="BOB29" s="53"/>
      <c r="BOF29" s="28"/>
      <c r="BOH29" s="55"/>
      <c r="BOI29" s="53"/>
      <c r="BOM29" s="28"/>
      <c r="BOO29" s="55"/>
      <c r="BOP29" s="53"/>
      <c r="BOT29" s="28"/>
      <c r="BOV29" s="55"/>
      <c r="BOW29" s="53"/>
      <c r="BPA29" s="28"/>
      <c r="BPC29" s="55"/>
      <c r="BPD29" s="53"/>
      <c r="BPH29" s="28"/>
      <c r="BPJ29" s="55"/>
      <c r="BPK29" s="53"/>
      <c r="BPO29" s="28"/>
      <c r="BPQ29" s="55"/>
      <c r="BPR29" s="53"/>
      <c r="BPV29" s="28"/>
      <c r="BPX29" s="55"/>
      <c r="BPY29" s="53"/>
      <c r="BQC29" s="28"/>
      <c r="BQE29" s="55"/>
      <c r="BQF29" s="53"/>
      <c r="BQJ29" s="28"/>
      <c r="BQL29" s="55"/>
      <c r="BQM29" s="53"/>
      <c r="BQQ29" s="28"/>
      <c r="BQS29" s="55"/>
      <c r="BQT29" s="53"/>
      <c r="BQX29" s="28"/>
      <c r="BQZ29" s="55"/>
      <c r="BRA29" s="53"/>
      <c r="BRE29" s="28"/>
      <c r="BRG29" s="55"/>
      <c r="BRH29" s="53"/>
      <c r="BRL29" s="28"/>
      <c r="BRN29" s="55"/>
      <c r="BRO29" s="53"/>
      <c r="BRS29" s="28"/>
      <c r="BRU29" s="55"/>
      <c r="BRV29" s="53"/>
      <c r="BRZ29" s="28"/>
      <c r="BSB29" s="55"/>
      <c r="BSC29" s="53"/>
      <c r="BSG29" s="28"/>
      <c r="BSI29" s="55"/>
      <c r="BSJ29" s="53"/>
      <c r="BSN29" s="28"/>
      <c r="BSP29" s="55"/>
      <c r="BSQ29" s="53"/>
      <c r="BSU29" s="28"/>
      <c r="BSW29" s="55"/>
      <c r="BSX29" s="53"/>
      <c r="BTB29" s="28"/>
      <c r="BTD29" s="55"/>
      <c r="BTE29" s="53"/>
      <c r="BTI29" s="28"/>
      <c r="BTK29" s="55"/>
      <c r="BTL29" s="53"/>
      <c r="BTP29" s="28"/>
      <c r="BTR29" s="55"/>
      <c r="BTS29" s="53"/>
      <c r="BTW29" s="28"/>
      <c r="BTY29" s="55"/>
      <c r="BTZ29" s="53"/>
      <c r="BUD29" s="28"/>
      <c r="BUF29" s="55"/>
      <c r="BUG29" s="53"/>
      <c r="BUK29" s="28"/>
      <c r="BUM29" s="55"/>
      <c r="BUN29" s="53"/>
      <c r="BUR29" s="28"/>
      <c r="BUT29" s="55"/>
      <c r="BUU29" s="53"/>
      <c r="BUY29" s="28"/>
      <c r="BVA29" s="55"/>
      <c r="BVB29" s="53"/>
      <c r="BVF29" s="28"/>
      <c r="BVH29" s="55"/>
      <c r="BVI29" s="53"/>
      <c r="BVM29" s="28"/>
      <c r="BVO29" s="55"/>
      <c r="BVP29" s="53"/>
      <c r="BVT29" s="28"/>
      <c r="BVV29" s="55"/>
      <c r="BVW29" s="53"/>
      <c r="BWA29" s="28"/>
      <c r="BWC29" s="55"/>
      <c r="BWD29" s="53"/>
      <c r="BWH29" s="28"/>
      <c r="BWJ29" s="55"/>
      <c r="BWK29" s="53"/>
      <c r="BWO29" s="28"/>
      <c r="BWQ29" s="55"/>
      <c r="BWR29" s="53"/>
      <c r="BWV29" s="28"/>
      <c r="BWX29" s="55"/>
      <c r="BWY29" s="53"/>
      <c r="BXC29" s="28"/>
      <c r="BXE29" s="55"/>
      <c r="BXF29" s="53"/>
      <c r="BXJ29" s="28"/>
      <c r="BXL29" s="55"/>
      <c r="BXM29" s="53"/>
      <c r="BXQ29" s="28"/>
      <c r="BXS29" s="55"/>
      <c r="BXT29" s="53"/>
      <c r="BXX29" s="28"/>
      <c r="BXZ29" s="55"/>
      <c r="BYA29" s="53"/>
      <c r="BYE29" s="28"/>
      <c r="BYG29" s="55"/>
      <c r="BYH29" s="53"/>
      <c r="BYL29" s="28"/>
      <c r="BYN29" s="55"/>
      <c r="BYO29" s="53"/>
      <c r="BYS29" s="28"/>
      <c r="BYU29" s="55"/>
      <c r="BYV29" s="53"/>
      <c r="BYZ29" s="28"/>
      <c r="BZB29" s="55"/>
      <c r="BZC29" s="53"/>
      <c r="BZG29" s="28"/>
      <c r="BZI29" s="55"/>
      <c r="BZJ29" s="53"/>
      <c r="BZN29" s="28"/>
      <c r="BZP29" s="55"/>
      <c r="BZQ29" s="53"/>
      <c r="BZU29" s="28"/>
      <c r="BZW29" s="55"/>
      <c r="BZX29" s="53"/>
      <c r="CAB29" s="28"/>
      <c r="CAD29" s="55"/>
      <c r="CAE29" s="53"/>
      <c r="CAI29" s="28"/>
      <c r="CAK29" s="55"/>
      <c r="CAL29" s="53"/>
      <c r="CAP29" s="28"/>
      <c r="CAR29" s="55"/>
      <c r="CAS29" s="53"/>
      <c r="CAW29" s="28"/>
      <c r="CAY29" s="55"/>
      <c r="CAZ29" s="53"/>
      <c r="CBD29" s="28"/>
      <c r="CBF29" s="55"/>
      <c r="CBG29" s="53"/>
      <c r="CBK29" s="28"/>
      <c r="CBM29" s="55"/>
      <c r="CBN29" s="53"/>
      <c r="CBR29" s="28"/>
      <c r="CBT29" s="55"/>
      <c r="CBU29" s="53"/>
      <c r="CBY29" s="28"/>
      <c r="CCA29" s="55"/>
      <c r="CCB29" s="53"/>
      <c r="CCF29" s="28"/>
      <c r="CCH29" s="55"/>
      <c r="CCI29" s="53"/>
      <c r="CCM29" s="28"/>
      <c r="CCO29" s="55"/>
      <c r="CCP29" s="53"/>
      <c r="CCT29" s="28"/>
      <c r="CCV29" s="55"/>
      <c r="CCW29" s="53"/>
      <c r="CDA29" s="28"/>
      <c r="CDC29" s="55"/>
      <c r="CDD29" s="53"/>
      <c r="CDH29" s="28"/>
      <c r="CDJ29" s="55"/>
      <c r="CDK29" s="53"/>
      <c r="CDO29" s="28"/>
      <c r="CDQ29" s="55"/>
      <c r="CDR29" s="53"/>
      <c r="CDV29" s="28"/>
      <c r="CDX29" s="55"/>
      <c r="CDY29" s="53"/>
      <c r="CEC29" s="28"/>
      <c r="CEE29" s="55"/>
      <c r="CEF29" s="53"/>
      <c r="CEJ29" s="28"/>
      <c r="CEL29" s="55"/>
      <c r="CEM29" s="53"/>
      <c r="CEQ29" s="28"/>
      <c r="CES29" s="55"/>
      <c r="CET29" s="53"/>
      <c r="CEX29" s="28"/>
      <c r="CEZ29" s="55"/>
      <c r="CFA29" s="53"/>
      <c r="CFE29" s="28"/>
      <c r="CFG29" s="55"/>
      <c r="CFH29" s="53"/>
      <c r="CFL29" s="28"/>
      <c r="CFN29" s="55"/>
      <c r="CFO29" s="53"/>
      <c r="CFS29" s="28"/>
      <c r="CFU29" s="55"/>
      <c r="CFV29" s="53"/>
      <c r="CFZ29" s="28"/>
      <c r="CGB29" s="55"/>
      <c r="CGC29" s="53"/>
      <c r="CGG29" s="28"/>
      <c r="CGI29" s="55"/>
      <c r="CGJ29" s="53"/>
      <c r="CGN29" s="28"/>
      <c r="CGP29" s="55"/>
      <c r="CGQ29" s="53"/>
      <c r="CGU29" s="28"/>
      <c r="CGW29" s="55"/>
      <c r="CGX29" s="53"/>
      <c r="CHB29" s="28"/>
      <c r="CHD29" s="55"/>
      <c r="CHE29" s="53"/>
      <c r="CHI29" s="28"/>
      <c r="CHK29" s="55"/>
      <c r="CHL29" s="53"/>
      <c r="CHP29" s="28"/>
      <c r="CHR29" s="55"/>
      <c r="CHS29" s="53"/>
      <c r="CHW29" s="28"/>
      <c r="CHY29" s="55"/>
      <c r="CHZ29" s="53"/>
      <c r="CID29" s="28"/>
      <c r="CIF29" s="55"/>
      <c r="CIG29" s="53"/>
      <c r="CIK29" s="28"/>
      <c r="CIM29" s="55"/>
      <c r="CIN29" s="53"/>
      <c r="CIR29" s="28"/>
      <c r="CIT29" s="55"/>
      <c r="CIU29" s="53"/>
      <c r="CIY29" s="28"/>
      <c r="CJA29" s="55"/>
      <c r="CJB29" s="53"/>
      <c r="CJF29" s="28"/>
      <c r="CJH29" s="55"/>
      <c r="CJI29" s="53"/>
      <c r="CJM29" s="28"/>
      <c r="CJO29" s="55"/>
      <c r="CJP29" s="53"/>
      <c r="CJT29" s="28"/>
      <c r="CJV29" s="55"/>
      <c r="CJW29" s="53"/>
      <c r="CKA29" s="28"/>
      <c r="CKC29" s="55"/>
      <c r="CKD29" s="53"/>
      <c r="CKH29" s="28"/>
      <c r="CKJ29" s="55"/>
      <c r="CKK29" s="53"/>
      <c r="CKO29" s="28"/>
      <c r="CKQ29" s="55"/>
      <c r="CKR29" s="53"/>
      <c r="CKV29" s="28"/>
      <c r="CKX29" s="55"/>
      <c r="CKY29" s="53"/>
      <c r="CLC29" s="28"/>
      <c r="CLE29" s="55"/>
      <c r="CLF29" s="53"/>
      <c r="CLJ29" s="28"/>
      <c r="CLL29" s="55"/>
      <c r="CLM29" s="53"/>
      <c r="CLQ29" s="28"/>
      <c r="CLS29" s="55"/>
      <c r="CLT29" s="53"/>
      <c r="CLX29" s="28"/>
      <c r="CLZ29" s="55"/>
      <c r="CMA29" s="53"/>
      <c r="CME29" s="28"/>
      <c r="CMG29" s="55"/>
      <c r="CMH29" s="53"/>
      <c r="CML29" s="28"/>
      <c r="CMN29" s="55"/>
      <c r="CMO29" s="53"/>
      <c r="CMS29" s="28"/>
      <c r="CMU29" s="55"/>
      <c r="CMV29" s="53"/>
      <c r="CMZ29" s="28"/>
      <c r="CNB29" s="55"/>
      <c r="CNC29" s="53"/>
      <c r="CNG29" s="28"/>
      <c r="CNI29" s="55"/>
      <c r="CNJ29" s="53"/>
      <c r="CNN29" s="28"/>
      <c r="CNP29" s="55"/>
      <c r="CNQ29" s="53"/>
      <c r="CNU29" s="28"/>
      <c r="CNW29" s="55"/>
      <c r="CNX29" s="53"/>
      <c r="COB29" s="28"/>
      <c r="COD29" s="55"/>
      <c r="COE29" s="53"/>
      <c r="COI29" s="28"/>
      <c r="COK29" s="55"/>
      <c r="COL29" s="53"/>
      <c r="COP29" s="28"/>
      <c r="COR29" s="55"/>
      <c r="COS29" s="53"/>
      <c r="COW29" s="28"/>
      <c r="COY29" s="55"/>
      <c r="COZ29" s="53"/>
      <c r="CPD29" s="28"/>
      <c r="CPF29" s="55"/>
      <c r="CPG29" s="53"/>
      <c r="CPK29" s="28"/>
      <c r="CPM29" s="55"/>
      <c r="CPN29" s="53"/>
      <c r="CPR29" s="28"/>
      <c r="CPT29" s="55"/>
      <c r="CPU29" s="53"/>
      <c r="CPY29" s="28"/>
      <c r="CQA29" s="55"/>
      <c r="CQB29" s="53"/>
      <c r="CQF29" s="28"/>
      <c r="CQH29" s="55"/>
      <c r="CQI29" s="53"/>
      <c r="CQM29" s="28"/>
      <c r="CQO29" s="55"/>
      <c r="CQP29" s="53"/>
      <c r="CQT29" s="28"/>
      <c r="CQV29" s="55"/>
      <c r="CQW29" s="53"/>
      <c r="CRA29" s="28"/>
      <c r="CRC29" s="55"/>
      <c r="CRD29" s="53"/>
      <c r="CRH29" s="28"/>
      <c r="CRJ29" s="55"/>
      <c r="CRK29" s="53"/>
      <c r="CRO29" s="28"/>
      <c r="CRQ29" s="55"/>
      <c r="CRR29" s="53"/>
      <c r="CRV29" s="28"/>
      <c r="CRX29" s="55"/>
      <c r="CRY29" s="53"/>
      <c r="CSC29" s="28"/>
      <c r="CSE29" s="55"/>
      <c r="CSF29" s="53"/>
      <c r="CSJ29" s="28"/>
      <c r="CSL29" s="55"/>
      <c r="CSM29" s="53"/>
      <c r="CSQ29" s="28"/>
      <c r="CSS29" s="55"/>
      <c r="CST29" s="53"/>
      <c r="CSX29" s="28"/>
      <c r="CSZ29" s="55"/>
      <c r="CTA29" s="53"/>
      <c r="CTE29" s="28"/>
      <c r="CTG29" s="55"/>
      <c r="CTH29" s="53"/>
      <c r="CTL29" s="28"/>
      <c r="CTN29" s="55"/>
      <c r="CTO29" s="53"/>
      <c r="CTS29" s="28"/>
      <c r="CTU29" s="55"/>
      <c r="CTV29" s="53"/>
      <c r="CTZ29" s="28"/>
      <c r="CUB29" s="55"/>
      <c r="CUC29" s="53"/>
      <c r="CUG29" s="28"/>
      <c r="CUI29" s="55"/>
      <c r="CUJ29" s="53"/>
      <c r="CUN29" s="28"/>
      <c r="CUP29" s="55"/>
      <c r="CUQ29" s="53"/>
      <c r="CUU29" s="28"/>
      <c r="CUW29" s="55"/>
      <c r="CUX29" s="53"/>
      <c r="CVB29" s="28"/>
      <c r="CVD29" s="55"/>
      <c r="CVE29" s="53"/>
      <c r="CVI29" s="28"/>
      <c r="CVK29" s="55"/>
      <c r="CVL29" s="53"/>
      <c r="CVP29" s="28"/>
      <c r="CVR29" s="55"/>
      <c r="CVS29" s="53"/>
      <c r="CVW29" s="28"/>
      <c r="CVY29" s="55"/>
      <c r="CVZ29" s="53"/>
      <c r="CWD29" s="28"/>
      <c r="CWF29" s="55"/>
      <c r="CWG29" s="53"/>
      <c r="CWK29" s="28"/>
      <c r="CWM29" s="55"/>
      <c r="CWN29" s="53"/>
      <c r="CWR29" s="28"/>
      <c r="CWT29" s="55"/>
      <c r="CWU29" s="53"/>
      <c r="CWY29" s="28"/>
      <c r="CXA29" s="55"/>
      <c r="CXB29" s="53"/>
      <c r="CXF29" s="28"/>
      <c r="CXH29" s="55"/>
      <c r="CXI29" s="53"/>
      <c r="CXM29" s="28"/>
      <c r="CXO29" s="55"/>
      <c r="CXP29" s="53"/>
      <c r="CXT29" s="28"/>
      <c r="CXV29" s="55"/>
      <c r="CXW29" s="53"/>
      <c r="CYA29" s="28"/>
      <c r="CYC29" s="55"/>
      <c r="CYD29" s="53"/>
      <c r="CYH29" s="28"/>
      <c r="CYJ29" s="55"/>
      <c r="CYK29" s="53"/>
      <c r="CYO29" s="28"/>
      <c r="CYQ29" s="55"/>
      <c r="CYR29" s="53"/>
      <c r="CYV29" s="28"/>
      <c r="CYX29" s="55"/>
      <c r="CYY29" s="53"/>
      <c r="CZC29" s="28"/>
      <c r="CZE29" s="55"/>
      <c r="CZF29" s="53"/>
      <c r="CZJ29" s="28"/>
      <c r="CZL29" s="55"/>
      <c r="CZM29" s="53"/>
      <c r="CZQ29" s="28"/>
      <c r="CZS29" s="55"/>
      <c r="CZT29" s="53"/>
      <c r="CZX29" s="28"/>
      <c r="CZZ29" s="55"/>
      <c r="DAA29" s="53"/>
      <c r="DAE29" s="28"/>
      <c r="DAG29" s="55"/>
      <c r="DAH29" s="53"/>
      <c r="DAL29" s="28"/>
      <c r="DAN29" s="55"/>
      <c r="DAO29" s="53"/>
      <c r="DAS29" s="28"/>
      <c r="DAU29" s="55"/>
      <c r="DAV29" s="53"/>
      <c r="DAZ29" s="28"/>
      <c r="DBB29" s="55"/>
      <c r="DBC29" s="53"/>
      <c r="DBG29" s="28"/>
      <c r="DBI29" s="55"/>
      <c r="DBJ29" s="53"/>
      <c r="DBN29" s="28"/>
      <c r="DBP29" s="55"/>
      <c r="DBQ29" s="53"/>
      <c r="DBU29" s="28"/>
      <c r="DBW29" s="55"/>
      <c r="DBX29" s="53"/>
      <c r="DCB29" s="28"/>
      <c r="DCD29" s="55"/>
      <c r="DCE29" s="53"/>
      <c r="DCI29" s="28"/>
      <c r="DCK29" s="55"/>
      <c r="DCL29" s="53"/>
      <c r="DCP29" s="28"/>
      <c r="DCR29" s="55"/>
      <c r="DCS29" s="53"/>
      <c r="DCW29" s="28"/>
      <c r="DCY29" s="55"/>
      <c r="DCZ29" s="53"/>
      <c r="DDD29" s="28"/>
      <c r="DDF29" s="55"/>
      <c r="DDG29" s="53"/>
      <c r="DDK29" s="28"/>
      <c r="DDM29" s="55"/>
      <c r="DDN29" s="53"/>
      <c r="DDR29" s="28"/>
      <c r="DDT29" s="55"/>
      <c r="DDU29" s="53"/>
      <c r="DDY29" s="28"/>
      <c r="DEA29" s="55"/>
      <c r="DEB29" s="53"/>
      <c r="DEF29" s="28"/>
      <c r="DEH29" s="55"/>
      <c r="DEI29" s="53"/>
      <c r="DEM29" s="28"/>
      <c r="DEO29" s="55"/>
      <c r="DEP29" s="53"/>
      <c r="DET29" s="28"/>
      <c r="DEV29" s="55"/>
      <c r="DEW29" s="53"/>
      <c r="DFA29" s="28"/>
      <c r="DFC29" s="55"/>
      <c r="DFD29" s="53"/>
      <c r="DFH29" s="28"/>
      <c r="DFJ29" s="55"/>
      <c r="DFK29" s="53"/>
      <c r="DFO29" s="28"/>
      <c r="DFQ29" s="55"/>
      <c r="DFR29" s="53"/>
      <c r="DFV29" s="28"/>
      <c r="DFX29" s="55"/>
      <c r="DFY29" s="53"/>
      <c r="DGC29" s="28"/>
      <c r="DGE29" s="55"/>
      <c r="DGF29" s="53"/>
      <c r="DGJ29" s="28"/>
      <c r="DGL29" s="55"/>
      <c r="DGM29" s="53"/>
      <c r="DGQ29" s="28"/>
      <c r="DGS29" s="55"/>
      <c r="DGT29" s="53"/>
      <c r="DGX29" s="28"/>
      <c r="DGZ29" s="55"/>
      <c r="DHA29" s="53"/>
      <c r="DHE29" s="28"/>
      <c r="DHG29" s="55"/>
      <c r="DHH29" s="53"/>
      <c r="DHL29" s="28"/>
      <c r="DHN29" s="55"/>
      <c r="DHO29" s="53"/>
      <c r="DHS29" s="28"/>
      <c r="DHU29" s="55"/>
      <c r="DHV29" s="53"/>
      <c r="DHZ29" s="28"/>
      <c r="DIB29" s="55"/>
      <c r="DIC29" s="53"/>
      <c r="DIG29" s="28"/>
      <c r="DII29" s="55"/>
      <c r="DIJ29" s="53"/>
      <c r="DIN29" s="28"/>
      <c r="DIP29" s="55"/>
      <c r="DIQ29" s="53"/>
      <c r="DIU29" s="28"/>
      <c r="DIW29" s="55"/>
      <c r="DIX29" s="53"/>
      <c r="DJB29" s="28"/>
      <c r="DJD29" s="55"/>
      <c r="DJE29" s="53"/>
      <c r="DJI29" s="28"/>
      <c r="DJK29" s="55"/>
      <c r="DJL29" s="53"/>
      <c r="DJP29" s="28"/>
      <c r="DJR29" s="55"/>
      <c r="DJS29" s="53"/>
      <c r="DJW29" s="28"/>
      <c r="DJY29" s="55"/>
      <c r="DJZ29" s="53"/>
      <c r="DKD29" s="28"/>
      <c r="DKF29" s="55"/>
      <c r="DKG29" s="53"/>
      <c r="DKK29" s="28"/>
      <c r="DKM29" s="55"/>
      <c r="DKN29" s="53"/>
      <c r="DKR29" s="28"/>
      <c r="DKT29" s="55"/>
      <c r="DKU29" s="53"/>
      <c r="DKY29" s="28"/>
      <c r="DLA29" s="55"/>
      <c r="DLB29" s="53"/>
      <c r="DLF29" s="28"/>
      <c r="DLH29" s="55"/>
      <c r="DLI29" s="53"/>
      <c r="DLM29" s="28"/>
      <c r="DLO29" s="55"/>
      <c r="DLP29" s="53"/>
      <c r="DLT29" s="28"/>
      <c r="DLV29" s="55"/>
      <c r="DLW29" s="53"/>
      <c r="DMA29" s="28"/>
      <c r="DMC29" s="55"/>
      <c r="DMD29" s="53"/>
      <c r="DMH29" s="28"/>
      <c r="DMJ29" s="55"/>
      <c r="DMK29" s="53"/>
      <c r="DMO29" s="28"/>
      <c r="DMQ29" s="55"/>
      <c r="DMR29" s="53"/>
      <c r="DMV29" s="28"/>
      <c r="DMX29" s="55"/>
      <c r="DMY29" s="53"/>
      <c r="DNC29" s="28"/>
      <c r="DNE29" s="55"/>
      <c r="DNF29" s="53"/>
      <c r="DNJ29" s="28"/>
      <c r="DNL29" s="55"/>
      <c r="DNM29" s="53"/>
      <c r="DNQ29" s="28"/>
      <c r="DNS29" s="55"/>
      <c r="DNT29" s="53"/>
      <c r="DNX29" s="28"/>
      <c r="DNZ29" s="55"/>
      <c r="DOA29" s="53"/>
      <c r="DOE29" s="28"/>
      <c r="DOG29" s="55"/>
      <c r="DOH29" s="53"/>
      <c r="DOL29" s="28"/>
      <c r="DON29" s="55"/>
      <c r="DOO29" s="53"/>
      <c r="DOS29" s="28"/>
      <c r="DOU29" s="55"/>
      <c r="DOV29" s="53"/>
      <c r="DOZ29" s="28"/>
      <c r="DPB29" s="55"/>
      <c r="DPC29" s="53"/>
      <c r="DPG29" s="28"/>
      <c r="DPI29" s="55"/>
      <c r="DPJ29" s="53"/>
      <c r="DPN29" s="28"/>
      <c r="DPP29" s="55"/>
      <c r="DPQ29" s="53"/>
      <c r="DPU29" s="28"/>
      <c r="DPW29" s="55"/>
      <c r="DPX29" s="53"/>
      <c r="DQB29" s="28"/>
      <c r="DQD29" s="55"/>
      <c r="DQE29" s="53"/>
      <c r="DQI29" s="28"/>
      <c r="DQK29" s="55"/>
      <c r="DQL29" s="53"/>
      <c r="DQP29" s="28"/>
      <c r="DQR29" s="55"/>
      <c r="DQS29" s="53"/>
      <c r="DQW29" s="28"/>
      <c r="DQY29" s="55"/>
      <c r="DQZ29" s="53"/>
      <c r="DRD29" s="28"/>
      <c r="DRF29" s="55"/>
      <c r="DRG29" s="53"/>
      <c r="DRK29" s="28"/>
      <c r="DRM29" s="55"/>
      <c r="DRN29" s="53"/>
      <c r="DRR29" s="28"/>
      <c r="DRT29" s="55"/>
      <c r="DRU29" s="53"/>
      <c r="DRY29" s="28"/>
      <c r="DSA29" s="55"/>
      <c r="DSB29" s="53"/>
      <c r="DSF29" s="28"/>
      <c r="DSH29" s="55"/>
      <c r="DSI29" s="53"/>
      <c r="DSM29" s="28"/>
      <c r="DSO29" s="55"/>
      <c r="DSP29" s="53"/>
      <c r="DST29" s="28"/>
      <c r="DSV29" s="55"/>
      <c r="DSW29" s="53"/>
      <c r="DTA29" s="28"/>
      <c r="DTC29" s="55"/>
      <c r="DTD29" s="53"/>
      <c r="DTH29" s="28"/>
      <c r="DTJ29" s="55"/>
      <c r="DTK29" s="53"/>
      <c r="DTO29" s="28"/>
      <c r="DTQ29" s="55"/>
      <c r="DTR29" s="53"/>
      <c r="DTV29" s="28"/>
      <c r="DTX29" s="55"/>
      <c r="DTY29" s="53"/>
      <c r="DUC29" s="28"/>
      <c r="DUE29" s="55"/>
      <c r="DUF29" s="53"/>
      <c r="DUJ29" s="28"/>
      <c r="DUL29" s="55"/>
      <c r="DUM29" s="53"/>
      <c r="DUQ29" s="28"/>
      <c r="DUS29" s="55"/>
      <c r="DUT29" s="53"/>
      <c r="DUX29" s="28"/>
      <c r="DUZ29" s="55"/>
      <c r="DVA29" s="53"/>
      <c r="DVE29" s="28"/>
      <c r="DVG29" s="55"/>
      <c r="DVH29" s="53"/>
      <c r="DVL29" s="28"/>
      <c r="DVN29" s="55"/>
      <c r="DVO29" s="53"/>
      <c r="DVS29" s="28"/>
      <c r="DVU29" s="55"/>
      <c r="DVV29" s="53"/>
      <c r="DVZ29" s="28"/>
      <c r="DWB29" s="55"/>
      <c r="DWC29" s="53"/>
      <c r="DWG29" s="28"/>
      <c r="DWI29" s="55"/>
      <c r="DWJ29" s="53"/>
      <c r="DWN29" s="28"/>
      <c r="DWP29" s="55"/>
      <c r="DWQ29" s="53"/>
      <c r="DWU29" s="28"/>
      <c r="DWW29" s="55"/>
      <c r="DWX29" s="53"/>
      <c r="DXB29" s="28"/>
      <c r="DXD29" s="55"/>
      <c r="DXE29" s="53"/>
      <c r="DXI29" s="28"/>
      <c r="DXK29" s="55"/>
      <c r="DXL29" s="53"/>
      <c r="DXP29" s="28"/>
      <c r="DXR29" s="55"/>
      <c r="DXS29" s="53"/>
      <c r="DXW29" s="28"/>
      <c r="DXY29" s="55"/>
      <c r="DXZ29" s="53"/>
      <c r="DYD29" s="28"/>
      <c r="DYF29" s="55"/>
      <c r="DYG29" s="53"/>
      <c r="DYK29" s="28"/>
      <c r="DYM29" s="55"/>
      <c r="DYN29" s="53"/>
      <c r="DYR29" s="28"/>
      <c r="DYT29" s="55"/>
      <c r="DYU29" s="53"/>
      <c r="DYY29" s="28"/>
      <c r="DZA29" s="55"/>
      <c r="DZB29" s="53"/>
      <c r="DZF29" s="28"/>
      <c r="DZH29" s="55"/>
      <c r="DZI29" s="53"/>
      <c r="DZM29" s="28"/>
      <c r="DZO29" s="55"/>
      <c r="DZP29" s="53"/>
      <c r="DZT29" s="28"/>
      <c r="DZV29" s="55"/>
      <c r="DZW29" s="53"/>
      <c r="EAA29" s="28"/>
      <c r="EAC29" s="55"/>
      <c r="EAD29" s="53"/>
      <c r="EAH29" s="28"/>
      <c r="EAJ29" s="55"/>
      <c r="EAK29" s="53"/>
      <c r="EAO29" s="28"/>
      <c r="EAQ29" s="55"/>
      <c r="EAR29" s="53"/>
      <c r="EAV29" s="28"/>
      <c r="EAX29" s="55"/>
      <c r="EAY29" s="53"/>
      <c r="EBC29" s="28"/>
      <c r="EBE29" s="55"/>
      <c r="EBF29" s="53"/>
      <c r="EBJ29" s="28"/>
      <c r="EBL29" s="55"/>
      <c r="EBM29" s="53"/>
      <c r="EBQ29" s="28"/>
      <c r="EBS29" s="55"/>
      <c r="EBT29" s="53"/>
      <c r="EBX29" s="28"/>
      <c r="EBZ29" s="55"/>
      <c r="ECA29" s="53"/>
      <c r="ECE29" s="28"/>
      <c r="ECG29" s="55"/>
      <c r="ECH29" s="53"/>
      <c r="ECL29" s="28"/>
      <c r="ECN29" s="55"/>
      <c r="ECO29" s="53"/>
      <c r="ECS29" s="28"/>
      <c r="ECU29" s="55"/>
      <c r="ECV29" s="53"/>
      <c r="ECZ29" s="28"/>
      <c r="EDB29" s="55"/>
      <c r="EDC29" s="53"/>
      <c r="EDG29" s="28"/>
      <c r="EDI29" s="55"/>
      <c r="EDJ29" s="53"/>
      <c r="EDN29" s="28"/>
      <c r="EDP29" s="55"/>
      <c r="EDQ29" s="53"/>
      <c r="EDU29" s="28"/>
      <c r="EDW29" s="55"/>
      <c r="EDX29" s="53"/>
      <c r="EEB29" s="28"/>
      <c r="EED29" s="55"/>
      <c r="EEE29" s="53"/>
      <c r="EEI29" s="28"/>
      <c r="EEK29" s="55"/>
      <c r="EEL29" s="53"/>
      <c r="EEP29" s="28"/>
      <c r="EER29" s="55"/>
      <c r="EES29" s="53"/>
      <c r="EEW29" s="28"/>
      <c r="EEY29" s="55"/>
      <c r="EEZ29" s="53"/>
      <c r="EFD29" s="28"/>
      <c r="EFF29" s="55"/>
      <c r="EFG29" s="53"/>
      <c r="EFK29" s="28"/>
      <c r="EFM29" s="55"/>
      <c r="EFN29" s="53"/>
      <c r="EFR29" s="28"/>
      <c r="EFT29" s="55"/>
      <c r="EFU29" s="53"/>
      <c r="EFY29" s="28"/>
      <c r="EGA29" s="55"/>
      <c r="EGB29" s="53"/>
      <c r="EGF29" s="28"/>
      <c r="EGH29" s="55"/>
      <c r="EGI29" s="53"/>
      <c r="EGM29" s="28"/>
      <c r="EGO29" s="55"/>
      <c r="EGP29" s="53"/>
      <c r="EGT29" s="28"/>
      <c r="EGV29" s="55"/>
      <c r="EGW29" s="53"/>
      <c r="EHA29" s="28"/>
      <c r="EHC29" s="55"/>
      <c r="EHD29" s="53"/>
      <c r="EHH29" s="28"/>
      <c r="EHJ29" s="55"/>
      <c r="EHK29" s="53"/>
      <c r="EHO29" s="28"/>
      <c r="EHQ29" s="55"/>
      <c r="EHR29" s="53"/>
      <c r="EHV29" s="28"/>
      <c r="EHX29" s="55"/>
      <c r="EHY29" s="53"/>
      <c r="EIC29" s="28"/>
      <c r="EIE29" s="55"/>
      <c r="EIF29" s="53"/>
      <c r="EIJ29" s="28"/>
      <c r="EIL29" s="55"/>
      <c r="EIM29" s="53"/>
      <c r="EIQ29" s="28"/>
      <c r="EIS29" s="55"/>
      <c r="EIT29" s="53"/>
      <c r="EIX29" s="28"/>
      <c r="EIZ29" s="55"/>
      <c r="EJA29" s="53"/>
      <c r="EJE29" s="28"/>
      <c r="EJG29" s="55"/>
      <c r="EJH29" s="53"/>
      <c r="EJL29" s="28"/>
      <c r="EJN29" s="55"/>
      <c r="EJO29" s="53"/>
      <c r="EJS29" s="28"/>
      <c r="EJU29" s="55"/>
      <c r="EJV29" s="53"/>
      <c r="EJZ29" s="28"/>
      <c r="EKB29" s="55"/>
      <c r="EKC29" s="53"/>
      <c r="EKG29" s="28"/>
      <c r="EKI29" s="55"/>
      <c r="EKJ29" s="53"/>
      <c r="EKN29" s="28"/>
      <c r="EKP29" s="55"/>
      <c r="EKQ29" s="53"/>
      <c r="EKU29" s="28"/>
      <c r="EKW29" s="55"/>
      <c r="EKX29" s="53"/>
      <c r="ELB29" s="28"/>
      <c r="ELD29" s="55"/>
      <c r="ELE29" s="53"/>
      <c r="ELI29" s="28"/>
      <c r="ELK29" s="55"/>
      <c r="ELL29" s="53"/>
      <c r="ELP29" s="28"/>
      <c r="ELR29" s="55"/>
      <c r="ELS29" s="53"/>
      <c r="ELW29" s="28"/>
      <c r="ELY29" s="55"/>
      <c r="ELZ29" s="53"/>
      <c r="EMD29" s="28"/>
      <c r="EMF29" s="55"/>
      <c r="EMG29" s="53"/>
      <c r="EMK29" s="28"/>
      <c r="EMM29" s="55"/>
      <c r="EMN29" s="53"/>
      <c r="EMR29" s="28"/>
      <c r="EMT29" s="55"/>
      <c r="EMU29" s="53"/>
      <c r="EMY29" s="28"/>
      <c r="ENA29" s="55"/>
      <c r="ENB29" s="53"/>
      <c r="ENF29" s="28"/>
      <c r="ENH29" s="55"/>
      <c r="ENI29" s="53"/>
      <c r="ENM29" s="28"/>
      <c r="ENO29" s="55"/>
      <c r="ENP29" s="53"/>
      <c r="ENT29" s="28"/>
      <c r="ENV29" s="55"/>
      <c r="ENW29" s="53"/>
      <c r="EOA29" s="28"/>
      <c r="EOC29" s="55"/>
      <c r="EOD29" s="53"/>
      <c r="EOH29" s="28"/>
      <c r="EOJ29" s="55"/>
      <c r="EOK29" s="53"/>
      <c r="EOO29" s="28"/>
      <c r="EOQ29" s="55"/>
      <c r="EOR29" s="53"/>
      <c r="EOV29" s="28"/>
      <c r="EOX29" s="55"/>
      <c r="EOY29" s="53"/>
      <c r="EPC29" s="28"/>
      <c r="EPE29" s="55"/>
      <c r="EPF29" s="53"/>
      <c r="EPJ29" s="28"/>
      <c r="EPL29" s="55"/>
      <c r="EPM29" s="53"/>
      <c r="EPQ29" s="28"/>
      <c r="EPS29" s="55"/>
      <c r="EPT29" s="53"/>
      <c r="EPX29" s="28"/>
      <c r="EPZ29" s="55"/>
      <c r="EQA29" s="53"/>
      <c r="EQE29" s="28"/>
      <c r="EQG29" s="55"/>
      <c r="EQH29" s="53"/>
      <c r="EQL29" s="28"/>
      <c r="EQN29" s="55"/>
      <c r="EQO29" s="53"/>
      <c r="EQS29" s="28"/>
      <c r="EQU29" s="55"/>
      <c r="EQV29" s="53"/>
      <c r="EQZ29" s="28"/>
      <c r="ERB29" s="55"/>
      <c r="ERC29" s="53"/>
      <c r="ERG29" s="28"/>
      <c r="ERI29" s="55"/>
      <c r="ERJ29" s="53"/>
      <c r="ERN29" s="28"/>
      <c r="ERP29" s="55"/>
      <c r="ERQ29" s="53"/>
      <c r="ERU29" s="28"/>
      <c r="ERW29" s="55"/>
      <c r="ERX29" s="53"/>
      <c r="ESB29" s="28"/>
      <c r="ESD29" s="55"/>
      <c r="ESE29" s="53"/>
      <c r="ESI29" s="28"/>
      <c r="ESK29" s="55"/>
      <c r="ESL29" s="53"/>
      <c r="ESP29" s="28"/>
      <c r="ESR29" s="55"/>
      <c r="ESS29" s="53"/>
      <c r="ESW29" s="28"/>
      <c r="ESY29" s="55"/>
      <c r="ESZ29" s="53"/>
      <c r="ETD29" s="28"/>
      <c r="ETF29" s="55"/>
      <c r="ETG29" s="53"/>
      <c r="ETK29" s="28"/>
      <c r="ETM29" s="55"/>
      <c r="ETN29" s="53"/>
      <c r="ETR29" s="28"/>
      <c r="ETT29" s="55"/>
      <c r="ETU29" s="53"/>
      <c r="ETY29" s="28"/>
      <c r="EUA29" s="55"/>
      <c r="EUB29" s="53"/>
      <c r="EUF29" s="28"/>
      <c r="EUH29" s="55"/>
      <c r="EUI29" s="53"/>
      <c r="EUM29" s="28"/>
      <c r="EUO29" s="55"/>
      <c r="EUP29" s="53"/>
      <c r="EUT29" s="28"/>
      <c r="EUV29" s="55"/>
      <c r="EUW29" s="53"/>
      <c r="EVA29" s="28"/>
      <c r="EVC29" s="55"/>
      <c r="EVD29" s="53"/>
      <c r="EVH29" s="28"/>
      <c r="EVJ29" s="55"/>
      <c r="EVK29" s="53"/>
      <c r="EVO29" s="28"/>
      <c r="EVQ29" s="55"/>
      <c r="EVR29" s="53"/>
      <c r="EVV29" s="28"/>
      <c r="EVX29" s="55"/>
      <c r="EVY29" s="53"/>
      <c r="EWC29" s="28"/>
      <c r="EWE29" s="55"/>
      <c r="EWF29" s="53"/>
      <c r="EWJ29" s="28"/>
      <c r="EWL29" s="55"/>
      <c r="EWM29" s="53"/>
      <c r="EWQ29" s="28"/>
      <c r="EWS29" s="55"/>
      <c r="EWT29" s="53"/>
      <c r="EWX29" s="28"/>
      <c r="EWZ29" s="55"/>
      <c r="EXA29" s="53"/>
      <c r="EXE29" s="28"/>
      <c r="EXG29" s="55"/>
      <c r="EXH29" s="53"/>
      <c r="EXL29" s="28"/>
      <c r="EXN29" s="55"/>
      <c r="EXO29" s="53"/>
      <c r="EXS29" s="28"/>
      <c r="EXU29" s="55"/>
      <c r="EXV29" s="53"/>
      <c r="EXZ29" s="28"/>
      <c r="EYB29" s="55"/>
      <c r="EYC29" s="53"/>
      <c r="EYG29" s="28"/>
      <c r="EYI29" s="55"/>
      <c r="EYJ29" s="53"/>
      <c r="EYN29" s="28"/>
      <c r="EYP29" s="55"/>
      <c r="EYQ29" s="53"/>
      <c r="EYU29" s="28"/>
      <c r="EYW29" s="55"/>
      <c r="EYX29" s="53"/>
      <c r="EZB29" s="28"/>
      <c r="EZD29" s="55"/>
      <c r="EZE29" s="53"/>
      <c r="EZI29" s="28"/>
      <c r="EZK29" s="55"/>
      <c r="EZL29" s="53"/>
      <c r="EZP29" s="28"/>
      <c r="EZR29" s="55"/>
      <c r="EZS29" s="53"/>
      <c r="EZW29" s="28"/>
      <c r="EZY29" s="55"/>
      <c r="EZZ29" s="53"/>
      <c r="FAD29" s="28"/>
      <c r="FAF29" s="55"/>
      <c r="FAG29" s="53"/>
      <c r="FAK29" s="28"/>
      <c r="FAM29" s="55"/>
      <c r="FAN29" s="53"/>
      <c r="FAR29" s="28"/>
      <c r="FAT29" s="55"/>
      <c r="FAU29" s="53"/>
      <c r="FAY29" s="28"/>
      <c r="FBA29" s="55"/>
      <c r="FBB29" s="53"/>
      <c r="FBF29" s="28"/>
      <c r="FBH29" s="55"/>
      <c r="FBI29" s="53"/>
      <c r="FBM29" s="28"/>
      <c r="FBO29" s="55"/>
      <c r="FBP29" s="53"/>
      <c r="FBT29" s="28"/>
      <c r="FBV29" s="55"/>
      <c r="FBW29" s="53"/>
      <c r="FCA29" s="28"/>
      <c r="FCC29" s="55"/>
      <c r="FCD29" s="53"/>
      <c r="FCH29" s="28"/>
      <c r="FCJ29" s="55"/>
      <c r="FCK29" s="53"/>
      <c r="FCO29" s="28"/>
      <c r="FCQ29" s="55"/>
      <c r="FCR29" s="53"/>
      <c r="FCV29" s="28"/>
      <c r="FCX29" s="55"/>
      <c r="FCY29" s="53"/>
      <c r="FDC29" s="28"/>
      <c r="FDE29" s="55"/>
      <c r="FDF29" s="53"/>
      <c r="FDJ29" s="28"/>
      <c r="FDL29" s="55"/>
      <c r="FDM29" s="53"/>
      <c r="FDQ29" s="28"/>
      <c r="FDS29" s="55"/>
      <c r="FDT29" s="53"/>
      <c r="FDX29" s="28"/>
      <c r="FDZ29" s="55"/>
      <c r="FEA29" s="53"/>
      <c r="FEE29" s="28"/>
      <c r="FEG29" s="55"/>
      <c r="FEH29" s="53"/>
      <c r="FEL29" s="28"/>
      <c r="FEN29" s="55"/>
      <c r="FEO29" s="53"/>
      <c r="FES29" s="28"/>
      <c r="FEU29" s="55"/>
      <c r="FEV29" s="53"/>
      <c r="FEZ29" s="28"/>
      <c r="FFB29" s="55"/>
      <c r="FFC29" s="53"/>
      <c r="FFG29" s="28"/>
      <c r="FFI29" s="55"/>
      <c r="FFJ29" s="53"/>
      <c r="FFN29" s="28"/>
      <c r="FFP29" s="55"/>
      <c r="FFQ29" s="53"/>
      <c r="FFU29" s="28"/>
      <c r="FFW29" s="55"/>
      <c r="FFX29" s="53"/>
      <c r="FGB29" s="28"/>
      <c r="FGD29" s="55"/>
      <c r="FGE29" s="53"/>
      <c r="FGI29" s="28"/>
      <c r="FGK29" s="55"/>
      <c r="FGL29" s="53"/>
      <c r="FGP29" s="28"/>
      <c r="FGR29" s="55"/>
      <c r="FGS29" s="53"/>
      <c r="FGW29" s="28"/>
      <c r="FGY29" s="55"/>
      <c r="FGZ29" s="53"/>
      <c r="FHD29" s="28"/>
      <c r="FHF29" s="55"/>
      <c r="FHG29" s="53"/>
      <c r="FHK29" s="28"/>
      <c r="FHM29" s="55"/>
      <c r="FHN29" s="53"/>
      <c r="FHR29" s="28"/>
      <c r="FHT29" s="55"/>
      <c r="FHU29" s="53"/>
      <c r="FHY29" s="28"/>
      <c r="FIA29" s="55"/>
      <c r="FIB29" s="53"/>
      <c r="FIF29" s="28"/>
      <c r="FIH29" s="55"/>
      <c r="FII29" s="53"/>
      <c r="FIM29" s="28"/>
      <c r="FIO29" s="55"/>
      <c r="FIP29" s="53"/>
      <c r="FIT29" s="28"/>
      <c r="FIV29" s="55"/>
      <c r="FIW29" s="53"/>
      <c r="FJA29" s="28"/>
      <c r="FJC29" s="55"/>
      <c r="FJD29" s="53"/>
      <c r="FJH29" s="28"/>
      <c r="FJJ29" s="55"/>
      <c r="FJK29" s="53"/>
      <c r="FJO29" s="28"/>
      <c r="FJQ29" s="55"/>
      <c r="FJR29" s="53"/>
      <c r="FJV29" s="28"/>
      <c r="FJX29" s="55"/>
      <c r="FJY29" s="53"/>
      <c r="FKC29" s="28"/>
      <c r="FKE29" s="55"/>
      <c r="FKF29" s="53"/>
      <c r="FKJ29" s="28"/>
      <c r="FKL29" s="55"/>
      <c r="FKM29" s="53"/>
      <c r="FKQ29" s="28"/>
      <c r="FKS29" s="55"/>
      <c r="FKT29" s="53"/>
      <c r="FKX29" s="28"/>
      <c r="FKZ29" s="55"/>
      <c r="FLA29" s="53"/>
      <c r="FLE29" s="28"/>
      <c r="FLG29" s="55"/>
      <c r="FLH29" s="53"/>
      <c r="FLL29" s="28"/>
      <c r="FLN29" s="55"/>
      <c r="FLO29" s="53"/>
      <c r="FLS29" s="28"/>
      <c r="FLU29" s="55"/>
      <c r="FLV29" s="53"/>
      <c r="FLZ29" s="28"/>
      <c r="FMB29" s="55"/>
      <c r="FMC29" s="53"/>
      <c r="FMG29" s="28"/>
      <c r="FMI29" s="55"/>
      <c r="FMJ29" s="53"/>
      <c r="FMN29" s="28"/>
      <c r="FMP29" s="55"/>
      <c r="FMQ29" s="53"/>
      <c r="FMU29" s="28"/>
      <c r="FMW29" s="55"/>
      <c r="FMX29" s="53"/>
      <c r="FNB29" s="28"/>
      <c r="FND29" s="55"/>
      <c r="FNE29" s="53"/>
      <c r="FNI29" s="28"/>
      <c r="FNK29" s="55"/>
      <c r="FNL29" s="53"/>
      <c r="FNP29" s="28"/>
      <c r="FNR29" s="55"/>
      <c r="FNS29" s="53"/>
      <c r="FNW29" s="28"/>
      <c r="FNY29" s="55"/>
      <c r="FNZ29" s="53"/>
      <c r="FOD29" s="28"/>
      <c r="FOF29" s="55"/>
      <c r="FOG29" s="53"/>
      <c r="FOK29" s="28"/>
      <c r="FOM29" s="55"/>
      <c r="FON29" s="53"/>
      <c r="FOR29" s="28"/>
      <c r="FOT29" s="55"/>
      <c r="FOU29" s="53"/>
      <c r="FOY29" s="28"/>
      <c r="FPA29" s="55"/>
      <c r="FPB29" s="53"/>
      <c r="FPF29" s="28"/>
      <c r="FPH29" s="55"/>
      <c r="FPI29" s="53"/>
      <c r="FPM29" s="28"/>
      <c r="FPO29" s="55"/>
      <c r="FPP29" s="53"/>
      <c r="FPT29" s="28"/>
      <c r="FPV29" s="55"/>
      <c r="FPW29" s="53"/>
      <c r="FQA29" s="28"/>
      <c r="FQC29" s="55"/>
      <c r="FQD29" s="53"/>
      <c r="FQH29" s="28"/>
      <c r="FQJ29" s="55"/>
      <c r="FQK29" s="53"/>
      <c r="FQO29" s="28"/>
      <c r="FQQ29" s="55"/>
      <c r="FQR29" s="53"/>
      <c r="FQV29" s="28"/>
      <c r="FQX29" s="55"/>
      <c r="FQY29" s="53"/>
      <c r="FRC29" s="28"/>
      <c r="FRE29" s="55"/>
      <c r="FRF29" s="53"/>
      <c r="FRJ29" s="28"/>
      <c r="FRL29" s="55"/>
      <c r="FRM29" s="53"/>
      <c r="FRQ29" s="28"/>
      <c r="FRS29" s="55"/>
      <c r="FRT29" s="53"/>
      <c r="FRX29" s="28"/>
      <c r="FRZ29" s="55"/>
      <c r="FSA29" s="53"/>
      <c r="FSE29" s="28"/>
      <c r="FSG29" s="55"/>
      <c r="FSH29" s="53"/>
      <c r="FSL29" s="28"/>
      <c r="FSN29" s="55"/>
      <c r="FSO29" s="53"/>
      <c r="FSS29" s="28"/>
      <c r="FSU29" s="55"/>
      <c r="FSV29" s="53"/>
      <c r="FSZ29" s="28"/>
      <c r="FTB29" s="55"/>
      <c r="FTC29" s="53"/>
      <c r="FTG29" s="28"/>
      <c r="FTI29" s="55"/>
      <c r="FTJ29" s="53"/>
      <c r="FTN29" s="28"/>
      <c r="FTP29" s="55"/>
      <c r="FTQ29" s="53"/>
      <c r="FTU29" s="28"/>
      <c r="FTW29" s="55"/>
      <c r="FTX29" s="53"/>
      <c r="FUB29" s="28"/>
      <c r="FUD29" s="55"/>
      <c r="FUE29" s="53"/>
      <c r="FUI29" s="28"/>
      <c r="FUK29" s="55"/>
      <c r="FUL29" s="53"/>
      <c r="FUP29" s="28"/>
      <c r="FUR29" s="55"/>
      <c r="FUS29" s="53"/>
      <c r="FUW29" s="28"/>
      <c r="FUY29" s="55"/>
      <c r="FUZ29" s="53"/>
      <c r="FVD29" s="28"/>
      <c r="FVF29" s="55"/>
      <c r="FVG29" s="53"/>
      <c r="FVK29" s="28"/>
      <c r="FVM29" s="55"/>
      <c r="FVN29" s="53"/>
      <c r="FVR29" s="28"/>
      <c r="FVT29" s="55"/>
      <c r="FVU29" s="53"/>
      <c r="FVY29" s="28"/>
      <c r="FWA29" s="55"/>
      <c r="FWB29" s="53"/>
      <c r="FWF29" s="28"/>
      <c r="FWH29" s="55"/>
      <c r="FWI29" s="53"/>
      <c r="FWM29" s="28"/>
      <c r="FWO29" s="55"/>
      <c r="FWP29" s="53"/>
      <c r="FWT29" s="28"/>
      <c r="FWV29" s="55"/>
      <c r="FWW29" s="53"/>
      <c r="FXA29" s="28"/>
      <c r="FXC29" s="55"/>
      <c r="FXD29" s="53"/>
      <c r="FXH29" s="28"/>
      <c r="FXJ29" s="55"/>
      <c r="FXK29" s="53"/>
      <c r="FXO29" s="28"/>
      <c r="FXQ29" s="55"/>
      <c r="FXR29" s="53"/>
      <c r="FXV29" s="28"/>
      <c r="FXX29" s="55"/>
      <c r="FXY29" s="53"/>
      <c r="FYC29" s="28"/>
      <c r="FYE29" s="55"/>
      <c r="FYF29" s="53"/>
      <c r="FYJ29" s="28"/>
      <c r="FYL29" s="55"/>
      <c r="FYM29" s="53"/>
      <c r="FYQ29" s="28"/>
      <c r="FYS29" s="55"/>
      <c r="FYT29" s="53"/>
      <c r="FYX29" s="28"/>
      <c r="FYZ29" s="55"/>
      <c r="FZA29" s="53"/>
      <c r="FZE29" s="28"/>
      <c r="FZG29" s="55"/>
      <c r="FZH29" s="53"/>
      <c r="FZL29" s="28"/>
      <c r="FZN29" s="55"/>
      <c r="FZO29" s="53"/>
      <c r="FZS29" s="28"/>
      <c r="FZU29" s="55"/>
      <c r="FZV29" s="53"/>
      <c r="FZZ29" s="28"/>
      <c r="GAB29" s="55"/>
      <c r="GAC29" s="53"/>
      <c r="GAG29" s="28"/>
      <c r="GAI29" s="55"/>
      <c r="GAJ29" s="53"/>
      <c r="GAN29" s="28"/>
      <c r="GAP29" s="55"/>
      <c r="GAQ29" s="53"/>
      <c r="GAU29" s="28"/>
      <c r="GAW29" s="55"/>
      <c r="GAX29" s="53"/>
      <c r="GBB29" s="28"/>
      <c r="GBD29" s="55"/>
      <c r="GBE29" s="53"/>
      <c r="GBI29" s="28"/>
      <c r="GBK29" s="55"/>
      <c r="GBL29" s="53"/>
      <c r="GBP29" s="28"/>
      <c r="GBR29" s="55"/>
      <c r="GBS29" s="53"/>
      <c r="GBW29" s="28"/>
      <c r="GBY29" s="55"/>
      <c r="GBZ29" s="53"/>
      <c r="GCD29" s="28"/>
      <c r="GCF29" s="55"/>
      <c r="GCG29" s="53"/>
      <c r="GCK29" s="28"/>
      <c r="GCM29" s="55"/>
      <c r="GCN29" s="53"/>
      <c r="GCR29" s="28"/>
      <c r="GCT29" s="55"/>
      <c r="GCU29" s="53"/>
      <c r="GCY29" s="28"/>
      <c r="GDA29" s="55"/>
      <c r="GDB29" s="53"/>
      <c r="GDF29" s="28"/>
      <c r="GDH29" s="55"/>
      <c r="GDI29" s="53"/>
      <c r="GDM29" s="28"/>
      <c r="GDO29" s="55"/>
      <c r="GDP29" s="53"/>
      <c r="GDT29" s="28"/>
      <c r="GDV29" s="55"/>
      <c r="GDW29" s="53"/>
      <c r="GEA29" s="28"/>
      <c r="GEC29" s="55"/>
      <c r="GED29" s="53"/>
      <c r="GEH29" s="28"/>
      <c r="GEJ29" s="55"/>
      <c r="GEK29" s="53"/>
      <c r="GEO29" s="28"/>
      <c r="GEQ29" s="55"/>
      <c r="GER29" s="53"/>
      <c r="GEV29" s="28"/>
      <c r="GEX29" s="55"/>
      <c r="GEY29" s="53"/>
      <c r="GFC29" s="28"/>
      <c r="GFE29" s="55"/>
      <c r="GFF29" s="53"/>
      <c r="GFJ29" s="28"/>
      <c r="GFL29" s="55"/>
      <c r="GFM29" s="53"/>
      <c r="GFQ29" s="28"/>
      <c r="GFS29" s="55"/>
      <c r="GFT29" s="53"/>
      <c r="GFX29" s="28"/>
      <c r="GFZ29" s="55"/>
      <c r="GGA29" s="53"/>
      <c r="GGE29" s="28"/>
      <c r="GGG29" s="55"/>
      <c r="GGH29" s="53"/>
      <c r="GGL29" s="28"/>
      <c r="GGN29" s="55"/>
      <c r="GGO29" s="53"/>
      <c r="GGS29" s="28"/>
      <c r="GGU29" s="55"/>
      <c r="GGV29" s="53"/>
      <c r="GGZ29" s="28"/>
      <c r="GHB29" s="55"/>
      <c r="GHC29" s="53"/>
      <c r="GHG29" s="28"/>
      <c r="GHI29" s="55"/>
      <c r="GHJ29" s="53"/>
      <c r="GHN29" s="28"/>
      <c r="GHP29" s="55"/>
      <c r="GHQ29" s="53"/>
      <c r="GHU29" s="28"/>
      <c r="GHW29" s="55"/>
      <c r="GHX29" s="53"/>
      <c r="GIB29" s="28"/>
      <c r="GID29" s="55"/>
      <c r="GIE29" s="53"/>
      <c r="GII29" s="28"/>
      <c r="GIK29" s="55"/>
      <c r="GIL29" s="53"/>
      <c r="GIP29" s="28"/>
      <c r="GIR29" s="55"/>
      <c r="GIS29" s="53"/>
      <c r="GIW29" s="28"/>
      <c r="GIY29" s="55"/>
      <c r="GIZ29" s="53"/>
      <c r="GJD29" s="28"/>
      <c r="GJF29" s="55"/>
      <c r="GJG29" s="53"/>
      <c r="GJK29" s="28"/>
      <c r="GJM29" s="55"/>
      <c r="GJN29" s="53"/>
      <c r="GJR29" s="28"/>
      <c r="GJT29" s="55"/>
      <c r="GJU29" s="53"/>
      <c r="GJY29" s="28"/>
      <c r="GKA29" s="55"/>
      <c r="GKB29" s="53"/>
      <c r="GKF29" s="28"/>
      <c r="GKH29" s="55"/>
      <c r="GKI29" s="53"/>
      <c r="GKM29" s="28"/>
      <c r="GKO29" s="55"/>
      <c r="GKP29" s="53"/>
      <c r="GKT29" s="28"/>
      <c r="GKV29" s="55"/>
      <c r="GKW29" s="53"/>
      <c r="GLA29" s="28"/>
      <c r="GLC29" s="55"/>
      <c r="GLD29" s="53"/>
      <c r="GLH29" s="28"/>
      <c r="GLJ29" s="55"/>
      <c r="GLK29" s="53"/>
      <c r="GLO29" s="28"/>
      <c r="GLQ29" s="55"/>
      <c r="GLR29" s="53"/>
      <c r="GLV29" s="28"/>
      <c r="GLX29" s="55"/>
      <c r="GLY29" s="53"/>
      <c r="GMC29" s="28"/>
      <c r="GME29" s="55"/>
      <c r="GMF29" s="53"/>
      <c r="GMJ29" s="28"/>
      <c r="GML29" s="55"/>
      <c r="GMM29" s="53"/>
      <c r="GMQ29" s="28"/>
      <c r="GMS29" s="55"/>
      <c r="GMT29" s="53"/>
      <c r="GMX29" s="28"/>
      <c r="GMZ29" s="55"/>
      <c r="GNA29" s="53"/>
      <c r="GNE29" s="28"/>
      <c r="GNG29" s="55"/>
      <c r="GNH29" s="53"/>
      <c r="GNL29" s="28"/>
      <c r="GNN29" s="55"/>
      <c r="GNO29" s="53"/>
      <c r="GNS29" s="28"/>
      <c r="GNU29" s="55"/>
      <c r="GNV29" s="53"/>
      <c r="GNZ29" s="28"/>
      <c r="GOB29" s="55"/>
      <c r="GOC29" s="53"/>
      <c r="GOG29" s="28"/>
      <c r="GOI29" s="55"/>
      <c r="GOJ29" s="53"/>
      <c r="GON29" s="28"/>
      <c r="GOP29" s="55"/>
      <c r="GOQ29" s="53"/>
      <c r="GOU29" s="28"/>
      <c r="GOW29" s="55"/>
      <c r="GOX29" s="53"/>
      <c r="GPB29" s="28"/>
      <c r="GPD29" s="55"/>
      <c r="GPE29" s="53"/>
      <c r="GPI29" s="28"/>
      <c r="GPK29" s="55"/>
      <c r="GPL29" s="53"/>
      <c r="GPP29" s="28"/>
      <c r="GPR29" s="55"/>
      <c r="GPS29" s="53"/>
      <c r="GPW29" s="28"/>
      <c r="GPY29" s="55"/>
      <c r="GPZ29" s="53"/>
      <c r="GQD29" s="28"/>
      <c r="GQF29" s="55"/>
      <c r="GQG29" s="53"/>
      <c r="GQK29" s="28"/>
      <c r="GQM29" s="55"/>
      <c r="GQN29" s="53"/>
      <c r="GQR29" s="28"/>
      <c r="GQT29" s="55"/>
      <c r="GQU29" s="53"/>
      <c r="GQY29" s="28"/>
      <c r="GRA29" s="55"/>
      <c r="GRB29" s="53"/>
      <c r="GRF29" s="28"/>
      <c r="GRH29" s="55"/>
      <c r="GRI29" s="53"/>
      <c r="GRM29" s="28"/>
      <c r="GRO29" s="55"/>
      <c r="GRP29" s="53"/>
      <c r="GRT29" s="28"/>
      <c r="GRV29" s="55"/>
      <c r="GRW29" s="53"/>
      <c r="GSA29" s="28"/>
      <c r="GSC29" s="55"/>
      <c r="GSD29" s="53"/>
      <c r="GSH29" s="28"/>
      <c r="GSJ29" s="55"/>
      <c r="GSK29" s="53"/>
      <c r="GSO29" s="28"/>
      <c r="GSQ29" s="55"/>
      <c r="GSR29" s="53"/>
      <c r="GSV29" s="28"/>
      <c r="GSX29" s="55"/>
      <c r="GSY29" s="53"/>
      <c r="GTC29" s="28"/>
      <c r="GTE29" s="55"/>
      <c r="GTF29" s="53"/>
      <c r="GTJ29" s="28"/>
      <c r="GTL29" s="55"/>
      <c r="GTM29" s="53"/>
      <c r="GTQ29" s="28"/>
      <c r="GTS29" s="55"/>
      <c r="GTT29" s="53"/>
      <c r="GTX29" s="28"/>
      <c r="GTZ29" s="55"/>
      <c r="GUA29" s="53"/>
      <c r="GUE29" s="28"/>
      <c r="GUG29" s="55"/>
      <c r="GUH29" s="53"/>
      <c r="GUL29" s="28"/>
      <c r="GUN29" s="55"/>
      <c r="GUO29" s="53"/>
      <c r="GUS29" s="28"/>
      <c r="GUU29" s="55"/>
      <c r="GUV29" s="53"/>
      <c r="GUZ29" s="28"/>
      <c r="GVB29" s="55"/>
      <c r="GVC29" s="53"/>
      <c r="GVG29" s="28"/>
      <c r="GVI29" s="55"/>
      <c r="GVJ29" s="53"/>
      <c r="GVN29" s="28"/>
      <c r="GVP29" s="55"/>
      <c r="GVQ29" s="53"/>
      <c r="GVU29" s="28"/>
      <c r="GVW29" s="55"/>
      <c r="GVX29" s="53"/>
      <c r="GWB29" s="28"/>
      <c r="GWD29" s="55"/>
      <c r="GWE29" s="53"/>
      <c r="GWI29" s="28"/>
      <c r="GWK29" s="55"/>
      <c r="GWL29" s="53"/>
      <c r="GWP29" s="28"/>
      <c r="GWR29" s="55"/>
      <c r="GWS29" s="53"/>
      <c r="GWW29" s="28"/>
      <c r="GWY29" s="55"/>
      <c r="GWZ29" s="53"/>
      <c r="GXD29" s="28"/>
      <c r="GXF29" s="55"/>
      <c r="GXG29" s="53"/>
      <c r="GXK29" s="28"/>
      <c r="GXM29" s="55"/>
      <c r="GXN29" s="53"/>
      <c r="GXR29" s="28"/>
      <c r="GXT29" s="55"/>
      <c r="GXU29" s="53"/>
      <c r="GXY29" s="28"/>
      <c r="GYA29" s="55"/>
      <c r="GYB29" s="53"/>
      <c r="GYF29" s="28"/>
      <c r="GYH29" s="55"/>
      <c r="GYI29" s="53"/>
      <c r="GYM29" s="28"/>
      <c r="GYO29" s="55"/>
      <c r="GYP29" s="53"/>
      <c r="GYT29" s="28"/>
      <c r="GYV29" s="55"/>
      <c r="GYW29" s="53"/>
      <c r="GZA29" s="28"/>
      <c r="GZC29" s="55"/>
      <c r="GZD29" s="53"/>
      <c r="GZH29" s="28"/>
      <c r="GZJ29" s="55"/>
      <c r="GZK29" s="53"/>
      <c r="GZO29" s="28"/>
      <c r="GZQ29" s="55"/>
      <c r="GZR29" s="53"/>
      <c r="GZV29" s="28"/>
      <c r="GZX29" s="55"/>
      <c r="GZY29" s="53"/>
      <c r="HAC29" s="28"/>
      <c r="HAE29" s="55"/>
      <c r="HAF29" s="53"/>
      <c r="HAJ29" s="28"/>
      <c r="HAL29" s="55"/>
      <c r="HAM29" s="53"/>
      <c r="HAQ29" s="28"/>
      <c r="HAS29" s="55"/>
      <c r="HAT29" s="53"/>
      <c r="HAX29" s="28"/>
      <c r="HAZ29" s="55"/>
      <c r="HBA29" s="53"/>
      <c r="HBE29" s="28"/>
      <c r="HBG29" s="55"/>
      <c r="HBH29" s="53"/>
      <c r="HBL29" s="28"/>
      <c r="HBN29" s="55"/>
      <c r="HBO29" s="53"/>
      <c r="HBS29" s="28"/>
      <c r="HBU29" s="55"/>
      <c r="HBV29" s="53"/>
      <c r="HBZ29" s="28"/>
      <c r="HCB29" s="55"/>
      <c r="HCC29" s="53"/>
      <c r="HCG29" s="28"/>
      <c r="HCI29" s="55"/>
      <c r="HCJ29" s="53"/>
      <c r="HCN29" s="28"/>
      <c r="HCP29" s="55"/>
      <c r="HCQ29" s="53"/>
      <c r="HCU29" s="28"/>
      <c r="HCW29" s="55"/>
      <c r="HCX29" s="53"/>
      <c r="HDB29" s="28"/>
      <c r="HDD29" s="55"/>
      <c r="HDE29" s="53"/>
      <c r="HDI29" s="28"/>
      <c r="HDK29" s="55"/>
      <c r="HDL29" s="53"/>
      <c r="HDP29" s="28"/>
      <c r="HDR29" s="55"/>
      <c r="HDS29" s="53"/>
      <c r="HDW29" s="28"/>
      <c r="HDY29" s="55"/>
      <c r="HDZ29" s="53"/>
      <c r="HED29" s="28"/>
      <c r="HEF29" s="55"/>
      <c r="HEG29" s="53"/>
      <c r="HEK29" s="28"/>
      <c r="HEM29" s="55"/>
      <c r="HEN29" s="53"/>
      <c r="HER29" s="28"/>
      <c r="HET29" s="55"/>
      <c r="HEU29" s="53"/>
      <c r="HEY29" s="28"/>
      <c r="HFA29" s="55"/>
      <c r="HFB29" s="53"/>
      <c r="HFF29" s="28"/>
      <c r="HFH29" s="55"/>
      <c r="HFI29" s="53"/>
      <c r="HFM29" s="28"/>
      <c r="HFO29" s="55"/>
      <c r="HFP29" s="53"/>
      <c r="HFT29" s="28"/>
      <c r="HFV29" s="55"/>
      <c r="HFW29" s="53"/>
      <c r="HGA29" s="28"/>
      <c r="HGC29" s="55"/>
      <c r="HGD29" s="53"/>
      <c r="HGH29" s="28"/>
      <c r="HGJ29" s="55"/>
      <c r="HGK29" s="53"/>
      <c r="HGO29" s="28"/>
      <c r="HGQ29" s="55"/>
      <c r="HGR29" s="53"/>
      <c r="HGV29" s="28"/>
      <c r="HGX29" s="55"/>
      <c r="HGY29" s="53"/>
      <c r="HHC29" s="28"/>
      <c r="HHE29" s="55"/>
      <c r="HHF29" s="53"/>
      <c r="HHJ29" s="28"/>
      <c r="HHL29" s="55"/>
      <c r="HHM29" s="53"/>
      <c r="HHQ29" s="28"/>
      <c r="HHS29" s="55"/>
      <c r="HHT29" s="53"/>
      <c r="HHX29" s="28"/>
      <c r="HHZ29" s="55"/>
      <c r="HIA29" s="53"/>
      <c r="HIE29" s="28"/>
      <c r="HIG29" s="55"/>
      <c r="HIH29" s="53"/>
      <c r="HIL29" s="28"/>
      <c r="HIN29" s="55"/>
      <c r="HIO29" s="53"/>
      <c r="HIS29" s="28"/>
      <c r="HIU29" s="55"/>
      <c r="HIV29" s="53"/>
      <c r="HIZ29" s="28"/>
      <c r="HJB29" s="55"/>
      <c r="HJC29" s="53"/>
      <c r="HJG29" s="28"/>
      <c r="HJI29" s="55"/>
      <c r="HJJ29" s="53"/>
      <c r="HJN29" s="28"/>
      <c r="HJP29" s="55"/>
      <c r="HJQ29" s="53"/>
      <c r="HJU29" s="28"/>
      <c r="HJW29" s="55"/>
      <c r="HJX29" s="53"/>
      <c r="HKB29" s="28"/>
      <c r="HKD29" s="55"/>
      <c r="HKE29" s="53"/>
      <c r="HKI29" s="28"/>
      <c r="HKK29" s="55"/>
      <c r="HKL29" s="53"/>
      <c r="HKP29" s="28"/>
      <c r="HKR29" s="55"/>
      <c r="HKS29" s="53"/>
      <c r="HKW29" s="28"/>
      <c r="HKY29" s="55"/>
      <c r="HKZ29" s="53"/>
      <c r="HLD29" s="28"/>
      <c r="HLF29" s="55"/>
      <c r="HLG29" s="53"/>
      <c r="HLK29" s="28"/>
      <c r="HLM29" s="55"/>
      <c r="HLN29" s="53"/>
      <c r="HLR29" s="28"/>
      <c r="HLT29" s="55"/>
      <c r="HLU29" s="53"/>
      <c r="HLY29" s="28"/>
      <c r="HMA29" s="55"/>
      <c r="HMB29" s="53"/>
      <c r="HMF29" s="28"/>
      <c r="HMH29" s="55"/>
      <c r="HMI29" s="53"/>
      <c r="HMM29" s="28"/>
      <c r="HMO29" s="55"/>
      <c r="HMP29" s="53"/>
      <c r="HMT29" s="28"/>
      <c r="HMV29" s="55"/>
      <c r="HMW29" s="53"/>
      <c r="HNA29" s="28"/>
      <c r="HNC29" s="55"/>
      <c r="HND29" s="53"/>
      <c r="HNH29" s="28"/>
      <c r="HNJ29" s="55"/>
      <c r="HNK29" s="53"/>
      <c r="HNO29" s="28"/>
      <c r="HNQ29" s="55"/>
      <c r="HNR29" s="53"/>
      <c r="HNV29" s="28"/>
      <c r="HNX29" s="55"/>
      <c r="HNY29" s="53"/>
      <c r="HOC29" s="28"/>
      <c r="HOE29" s="55"/>
      <c r="HOF29" s="53"/>
      <c r="HOJ29" s="28"/>
      <c r="HOL29" s="55"/>
      <c r="HOM29" s="53"/>
      <c r="HOQ29" s="28"/>
      <c r="HOS29" s="55"/>
      <c r="HOT29" s="53"/>
      <c r="HOX29" s="28"/>
      <c r="HOZ29" s="55"/>
      <c r="HPA29" s="53"/>
      <c r="HPE29" s="28"/>
      <c r="HPG29" s="55"/>
      <c r="HPH29" s="53"/>
      <c r="HPL29" s="28"/>
      <c r="HPN29" s="55"/>
      <c r="HPO29" s="53"/>
      <c r="HPS29" s="28"/>
      <c r="HPU29" s="55"/>
      <c r="HPV29" s="53"/>
      <c r="HPZ29" s="28"/>
      <c r="HQB29" s="55"/>
      <c r="HQC29" s="53"/>
      <c r="HQG29" s="28"/>
      <c r="HQI29" s="55"/>
      <c r="HQJ29" s="53"/>
      <c r="HQN29" s="28"/>
      <c r="HQP29" s="55"/>
      <c r="HQQ29" s="53"/>
      <c r="HQU29" s="28"/>
      <c r="HQW29" s="55"/>
      <c r="HQX29" s="53"/>
      <c r="HRB29" s="28"/>
      <c r="HRD29" s="55"/>
      <c r="HRE29" s="53"/>
      <c r="HRI29" s="28"/>
      <c r="HRK29" s="55"/>
      <c r="HRL29" s="53"/>
      <c r="HRP29" s="28"/>
      <c r="HRR29" s="55"/>
      <c r="HRS29" s="53"/>
      <c r="HRW29" s="28"/>
      <c r="HRY29" s="55"/>
      <c r="HRZ29" s="53"/>
      <c r="HSD29" s="28"/>
      <c r="HSF29" s="55"/>
      <c r="HSG29" s="53"/>
      <c r="HSK29" s="28"/>
      <c r="HSM29" s="55"/>
      <c r="HSN29" s="53"/>
      <c r="HSR29" s="28"/>
      <c r="HST29" s="55"/>
      <c r="HSU29" s="53"/>
      <c r="HSY29" s="28"/>
      <c r="HTA29" s="55"/>
      <c r="HTB29" s="53"/>
      <c r="HTF29" s="28"/>
      <c r="HTH29" s="55"/>
      <c r="HTI29" s="53"/>
      <c r="HTM29" s="28"/>
      <c r="HTO29" s="55"/>
      <c r="HTP29" s="53"/>
      <c r="HTT29" s="28"/>
      <c r="HTV29" s="55"/>
      <c r="HTW29" s="53"/>
      <c r="HUA29" s="28"/>
      <c r="HUC29" s="55"/>
      <c r="HUD29" s="53"/>
      <c r="HUH29" s="28"/>
      <c r="HUJ29" s="55"/>
      <c r="HUK29" s="53"/>
      <c r="HUO29" s="28"/>
      <c r="HUQ29" s="55"/>
      <c r="HUR29" s="53"/>
      <c r="HUV29" s="28"/>
      <c r="HUX29" s="55"/>
      <c r="HUY29" s="53"/>
      <c r="HVC29" s="28"/>
      <c r="HVE29" s="55"/>
      <c r="HVF29" s="53"/>
      <c r="HVJ29" s="28"/>
      <c r="HVL29" s="55"/>
      <c r="HVM29" s="53"/>
      <c r="HVQ29" s="28"/>
      <c r="HVS29" s="55"/>
      <c r="HVT29" s="53"/>
      <c r="HVX29" s="28"/>
      <c r="HVZ29" s="55"/>
      <c r="HWA29" s="53"/>
      <c r="HWE29" s="28"/>
      <c r="HWG29" s="55"/>
      <c r="HWH29" s="53"/>
      <c r="HWL29" s="28"/>
      <c r="HWN29" s="55"/>
      <c r="HWO29" s="53"/>
      <c r="HWS29" s="28"/>
      <c r="HWU29" s="55"/>
      <c r="HWV29" s="53"/>
      <c r="HWZ29" s="28"/>
      <c r="HXB29" s="55"/>
      <c r="HXC29" s="53"/>
      <c r="HXG29" s="28"/>
      <c r="HXI29" s="55"/>
      <c r="HXJ29" s="53"/>
      <c r="HXN29" s="28"/>
      <c r="HXP29" s="55"/>
      <c r="HXQ29" s="53"/>
      <c r="HXU29" s="28"/>
      <c r="HXW29" s="55"/>
      <c r="HXX29" s="53"/>
      <c r="HYB29" s="28"/>
      <c r="HYD29" s="55"/>
      <c r="HYE29" s="53"/>
      <c r="HYI29" s="28"/>
      <c r="HYK29" s="55"/>
      <c r="HYL29" s="53"/>
      <c r="HYP29" s="28"/>
      <c r="HYR29" s="55"/>
      <c r="HYS29" s="53"/>
      <c r="HYW29" s="28"/>
      <c r="HYY29" s="55"/>
      <c r="HYZ29" s="53"/>
      <c r="HZD29" s="28"/>
      <c r="HZF29" s="55"/>
      <c r="HZG29" s="53"/>
      <c r="HZK29" s="28"/>
      <c r="HZM29" s="55"/>
      <c r="HZN29" s="53"/>
      <c r="HZR29" s="28"/>
      <c r="HZT29" s="55"/>
      <c r="HZU29" s="53"/>
      <c r="HZY29" s="28"/>
      <c r="IAA29" s="55"/>
      <c r="IAB29" s="53"/>
      <c r="IAF29" s="28"/>
      <c r="IAH29" s="55"/>
      <c r="IAI29" s="53"/>
      <c r="IAM29" s="28"/>
      <c r="IAO29" s="55"/>
      <c r="IAP29" s="53"/>
      <c r="IAT29" s="28"/>
      <c r="IAV29" s="55"/>
      <c r="IAW29" s="53"/>
      <c r="IBA29" s="28"/>
      <c r="IBC29" s="55"/>
      <c r="IBD29" s="53"/>
      <c r="IBH29" s="28"/>
      <c r="IBJ29" s="55"/>
      <c r="IBK29" s="53"/>
      <c r="IBO29" s="28"/>
      <c r="IBQ29" s="55"/>
      <c r="IBR29" s="53"/>
      <c r="IBV29" s="28"/>
      <c r="IBX29" s="55"/>
      <c r="IBY29" s="53"/>
      <c r="ICC29" s="28"/>
      <c r="ICE29" s="55"/>
      <c r="ICF29" s="53"/>
      <c r="ICJ29" s="28"/>
      <c r="ICL29" s="55"/>
      <c r="ICM29" s="53"/>
      <c r="ICQ29" s="28"/>
      <c r="ICS29" s="55"/>
      <c r="ICT29" s="53"/>
      <c r="ICX29" s="28"/>
      <c r="ICZ29" s="55"/>
      <c r="IDA29" s="53"/>
      <c r="IDE29" s="28"/>
      <c r="IDG29" s="55"/>
      <c r="IDH29" s="53"/>
      <c r="IDL29" s="28"/>
      <c r="IDN29" s="55"/>
      <c r="IDO29" s="53"/>
      <c r="IDS29" s="28"/>
      <c r="IDU29" s="55"/>
      <c r="IDV29" s="53"/>
      <c r="IDZ29" s="28"/>
      <c r="IEB29" s="55"/>
      <c r="IEC29" s="53"/>
      <c r="IEG29" s="28"/>
      <c r="IEI29" s="55"/>
      <c r="IEJ29" s="53"/>
      <c r="IEN29" s="28"/>
      <c r="IEP29" s="55"/>
      <c r="IEQ29" s="53"/>
      <c r="IEU29" s="28"/>
      <c r="IEW29" s="55"/>
      <c r="IEX29" s="53"/>
      <c r="IFB29" s="28"/>
      <c r="IFD29" s="55"/>
      <c r="IFE29" s="53"/>
      <c r="IFI29" s="28"/>
      <c r="IFK29" s="55"/>
      <c r="IFL29" s="53"/>
      <c r="IFP29" s="28"/>
      <c r="IFR29" s="55"/>
      <c r="IFS29" s="53"/>
      <c r="IFW29" s="28"/>
      <c r="IFY29" s="55"/>
      <c r="IFZ29" s="53"/>
      <c r="IGD29" s="28"/>
      <c r="IGF29" s="55"/>
      <c r="IGG29" s="53"/>
      <c r="IGK29" s="28"/>
      <c r="IGM29" s="55"/>
      <c r="IGN29" s="53"/>
      <c r="IGR29" s="28"/>
      <c r="IGT29" s="55"/>
      <c r="IGU29" s="53"/>
      <c r="IGY29" s="28"/>
      <c r="IHA29" s="55"/>
      <c r="IHB29" s="53"/>
      <c r="IHF29" s="28"/>
      <c r="IHH29" s="55"/>
      <c r="IHI29" s="53"/>
      <c r="IHM29" s="28"/>
      <c r="IHO29" s="55"/>
      <c r="IHP29" s="53"/>
      <c r="IHT29" s="28"/>
      <c r="IHV29" s="55"/>
      <c r="IHW29" s="53"/>
      <c r="IIA29" s="28"/>
      <c r="IIC29" s="55"/>
      <c r="IID29" s="53"/>
      <c r="IIH29" s="28"/>
      <c r="IIJ29" s="55"/>
      <c r="IIK29" s="53"/>
      <c r="IIO29" s="28"/>
      <c r="IIQ29" s="55"/>
      <c r="IIR29" s="53"/>
      <c r="IIV29" s="28"/>
      <c r="IIX29" s="55"/>
      <c r="IIY29" s="53"/>
      <c r="IJC29" s="28"/>
      <c r="IJE29" s="55"/>
      <c r="IJF29" s="53"/>
      <c r="IJJ29" s="28"/>
      <c r="IJL29" s="55"/>
      <c r="IJM29" s="53"/>
      <c r="IJQ29" s="28"/>
      <c r="IJS29" s="55"/>
      <c r="IJT29" s="53"/>
      <c r="IJX29" s="28"/>
      <c r="IJZ29" s="55"/>
      <c r="IKA29" s="53"/>
      <c r="IKE29" s="28"/>
      <c r="IKG29" s="55"/>
      <c r="IKH29" s="53"/>
      <c r="IKL29" s="28"/>
      <c r="IKN29" s="55"/>
      <c r="IKO29" s="53"/>
      <c r="IKS29" s="28"/>
      <c r="IKU29" s="55"/>
      <c r="IKV29" s="53"/>
      <c r="IKZ29" s="28"/>
      <c r="ILB29" s="55"/>
      <c r="ILC29" s="53"/>
      <c r="ILG29" s="28"/>
      <c r="ILI29" s="55"/>
      <c r="ILJ29" s="53"/>
      <c r="ILN29" s="28"/>
      <c r="ILP29" s="55"/>
      <c r="ILQ29" s="53"/>
      <c r="ILU29" s="28"/>
      <c r="ILW29" s="55"/>
      <c r="ILX29" s="53"/>
      <c r="IMB29" s="28"/>
      <c r="IMD29" s="55"/>
      <c r="IME29" s="53"/>
      <c r="IMI29" s="28"/>
      <c r="IMK29" s="55"/>
      <c r="IML29" s="53"/>
      <c r="IMP29" s="28"/>
      <c r="IMR29" s="55"/>
      <c r="IMS29" s="53"/>
      <c r="IMW29" s="28"/>
      <c r="IMY29" s="55"/>
      <c r="IMZ29" s="53"/>
      <c r="IND29" s="28"/>
      <c r="INF29" s="55"/>
      <c r="ING29" s="53"/>
      <c r="INK29" s="28"/>
      <c r="INM29" s="55"/>
      <c r="INN29" s="53"/>
      <c r="INR29" s="28"/>
      <c r="INT29" s="55"/>
      <c r="INU29" s="53"/>
      <c r="INY29" s="28"/>
      <c r="IOA29" s="55"/>
      <c r="IOB29" s="53"/>
      <c r="IOF29" s="28"/>
      <c r="IOH29" s="55"/>
      <c r="IOI29" s="53"/>
      <c r="IOM29" s="28"/>
      <c r="IOO29" s="55"/>
      <c r="IOP29" s="53"/>
      <c r="IOT29" s="28"/>
      <c r="IOV29" s="55"/>
      <c r="IOW29" s="53"/>
      <c r="IPA29" s="28"/>
      <c r="IPC29" s="55"/>
      <c r="IPD29" s="53"/>
      <c r="IPH29" s="28"/>
      <c r="IPJ29" s="55"/>
      <c r="IPK29" s="53"/>
      <c r="IPO29" s="28"/>
      <c r="IPQ29" s="55"/>
      <c r="IPR29" s="53"/>
      <c r="IPV29" s="28"/>
      <c r="IPX29" s="55"/>
      <c r="IPY29" s="53"/>
      <c r="IQC29" s="28"/>
      <c r="IQE29" s="55"/>
      <c r="IQF29" s="53"/>
      <c r="IQJ29" s="28"/>
      <c r="IQL29" s="55"/>
      <c r="IQM29" s="53"/>
      <c r="IQQ29" s="28"/>
      <c r="IQS29" s="55"/>
      <c r="IQT29" s="53"/>
      <c r="IQX29" s="28"/>
      <c r="IQZ29" s="55"/>
      <c r="IRA29" s="53"/>
      <c r="IRE29" s="28"/>
      <c r="IRG29" s="55"/>
      <c r="IRH29" s="53"/>
      <c r="IRL29" s="28"/>
      <c r="IRN29" s="55"/>
      <c r="IRO29" s="53"/>
      <c r="IRS29" s="28"/>
      <c r="IRU29" s="55"/>
      <c r="IRV29" s="53"/>
      <c r="IRZ29" s="28"/>
      <c r="ISB29" s="55"/>
      <c r="ISC29" s="53"/>
      <c r="ISG29" s="28"/>
      <c r="ISI29" s="55"/>
      <c r="ISJ29" s="53"/>
      <c r="ISN29" s="28"/>
      <c r="ISP29" s="55"/>
      <c r="ISQ29" s="53"/>
      <c r="ISU29" s="28"/>
      <c r="ISW29" s="55"/>
      <c r="ISX29" s="53"/>
      <c r="ITB29" s="28"/>
      <c r="ITD29" s="55"/>
      <c r="ITE29" s="53"/>
      <c r="ITI29" s="28"/>
      <c r="ITK29" s="55"/>
      <c r="ITL29" s="53"/>
      <c r="ITP29" s="28"/>
      <c r="ITR29" s="55"/>
      <c r="ITS29" s="53"/>
      <c r="ITW29" s="28"/>
      <c r="ITY29" s="55"/>
      <c r="ITZ29" s="53"/>
      <c r="IUD29" s="28"/>
      <c r="IUF29" s="55"/>
      <c r="IUG29" s="53"/>
      <c r="IUK29" s="28"/>
      <c r="IUM29" s="55"/>
      <c r="IUN29" s="53"/>
      <c r="IUR29" s="28"/>
      <c r="IUT29" s="55"/>
      <c r="IUU29" s="53"/>
      <c r="IUY29" s="28"/>
      <c r="IVA29" s="55"/>
      <c r="IVB29" s="53"/>
      <c r="IVF29" s="28"/>
      <c r="IVH29" s="55"/>
      <c r="IVI29" s="53"/>
      <c r="IVM29" s="28"/>
      <c r="IVO29" s="55"/>
      <c r="IVP29" s="53"/>
      <c r="IVT29" s="28"/>
      <c r="IVV29" s="55"/>
      <c r="IVW29" s="53"/>
      <c r="IWA29" s="28"/>
      <c r="IWC29" s="55"/>
      <c r="IWD29" s="53"/>
      <c r="IWH29" s="28"/>
      <c r="IWJ29" s="55"/>
      <c r="IWK29" s="53"/>
      <c r="IWO29" s="28"/>
      <c r="IWQ29" s="55"/>
      <c r="IWR29" s="53"/>
      <c r="IWV29" s="28"/>
      <c r="IWX29" s="55"/>
      <c r="IWY29" s="53"/>
      <c r="IXC29" s="28"/>
      <c r="IXE29" s="55"/>
      <c r="IXF29" s="53"/>
      <c r="IXJ29" s="28"/>
      <c r="IXL29" s="55"/>
      <c r="IXM29" s="53"/>
      <c r="IXQ29" s="28"/>
      <c r="IXS29" s="55"/>
      <c r="IXT29" s="53"/>
      <c r="IXX29" s="28"/>
      <c r="IXZ29" s="55"/>
      <c r="IYA29" s="53"/>
      <c r="IYE29" s="28"/>
      <c r="IYG29" s="55"/>
      <c r="IYH29" s="53"/>
      <c r="IYL29" s="28"/>
      <c r="IYN29" s="55"/>
      <c r="IYO29" s="53"/>
      <c r="IYS29" s="28"/>
      <c r="IYU29" s="55"/>
      <c r="IYV29" s="53"/>
      <c r="IYZ29" s="28"/>
      <c r="IZB29" s="55"/>
      <c r="IZC29" s="53"/>
      <c r="IZG29" s="28"/>
      <c r="IZI29" s="55"/>
      <c r="IZJ29" s="53"/>
      <c r="IZN29" s="28"/>
      <c r="IZP29" s="55"/>
      <c r="IZQ29" s="53"/>
      <c r="IZU29" s="28"/>
      <c r="IZW29" s="55"/>
      <c r="IZX29" s="53"/>
      <c r="JAB29" s="28"/>
      <c r="JAD29" s="55"/>
      <c r="JAE29" s="53"/>
      <c r="JAI29" s="28"/>
      <c r="JAK29" s="55"/>
      <c r="JAL29" s="53"/>
      <c r="JAP29" s="28"/>
      <c r="JAR29" s="55"/>
      <c r="JAS29" s="53"/>
      <c r="JAW29" s="28"/>
      <c r="JAY29" s="55"/>
      <c r="JAZ29" s="53"/>
      <c r="JBD29" s="28"/>
      <c r="JBF29" s="55"/>
      <c r="JBG29" s="53"/>
      <c r="JBK29" s="28"/>
      <c r="JBM29" s="55"/>
      <c r="JBN29" s="53"/>
      <c r="JBR29" s="28"/>
      <c r="JBT29" s="55"/>
      <c r="JBU29" s="53"/>
      <c r="JBY29" s="28"/>
      <c r="JCA29" s="55"/>
      <c r="JCB29" s="53"/>
      <c r="JCF29" s="28"/>
      <c r="JCH29" s="55"/>
      <c r="JCI29" s="53"/>
      <c r="JCM29" s="28"/>
      <c r="JCO29" s="55"/>
      <c r="JCP29" s="53"/>
      <c r="JCT29" s="28"/>
      <c r="JCV29" s="55"/>
      <c r="JCW29" s="53"/>
      <c r="JDA29" s="28"/>
      <c r="JDC29" s="55"/>
      <c r="JDD29" s="53"/>
      <c r="JDH29" s="28"/>
      <c r="JDJ29" s="55"/>
      <c r="JDK29" s="53"/>
      <c r="JDO29" s="28"/>
      <c r="JDQ29" s="55"/>
      <c r="JDR29" s="53"/>
      <c r="JDV29" s="28"/>
      <c r="JDX29" s="55"/>
      <c r="JDY29" s="53"/>
      <c r="JEC29" s="28"/>
      <c r="JEE29" s="55"/>
      <c r="JEF29" s="53"/>
      <c r="JEJ29" s="28"/>
      <c r="JEL29" s="55"/>
      <c r="JEM29" s="53"/>
      <c r="JEQ29" s="28"/>
      <c r="JES29" s="55"/>
      <c r="JET29" s="53"/>
      <c r="JEX29" s="28"/>
      <c r="JEZ29" s="55"/>
      <c r="JFA29" s="53"/>
      <c r="JFE29" s="28"/>
      <c r="JFG29" s="55"/>
      <c r="JFH29" s="53"/>
      <c r="JFL29" s="28"/>
      <c r="JFN29" s="55"/>
      <c r="JFO29" s="53"/>
      <c r="JFS29" s="28"/>
      <c r="JFU29" s="55"/>
      <c r="JFV29" s="53"/>
      <c r="JFZ29" s="28"/>
      <c r="JGB29" s="55"/>
      <c r="JGC29" s="53"/>
      <c r="JGG29" s="28"/>
      <c r="JGI29" s="55"/>
      <c r="JGJ29" s="53"/>
      <c r="JGN29" s="28"/>
      <c r="JGP29" s="55"/>
      <c r="JGQ29" s="53"/>
      <c r="JGU29" s="28"/>
      <c r="JGW29" s="55"/>
      <c r="JGX29" s="53"/>
      <c r="JHB29" s="28"/>
      <c r="JHD29" s="55"/>
      <c r="JHE29" s="53"/>
      <c r="JHI29" s="28"/>
      <c r="JHK29" s="55"/>
      <c r="JHL29" s="53"/>
      <c r="JHP29" s="28"/>
      <c r="JHR29" s="55"/>
      <c r="JHS29" s="53"/>
      <c r="JHW29" s="28"/>
      <c r="JHY29" s="55"/>
      <c r="JHZ29" s="53"/>
      <c r="JID29" s="28"/>
      <c r="JIF29" s="55"/>
      <c r="JIG29" s="53"/>
      <c r="JIK29" s="28"/>
      <c r="JIM29" s="55"/>
      <c r="JIN29" s="53"/>
      <c r="JIR29" s="28"/>
      <c r="JIT29" s="55"/>
      <c r="JIU29" s="53"/>
      <c r="JIY29" s="28"/>
      <c r="JJA29" s="55"/>
      <c r="JJB29" s="53"/>
      <c r="JJF29" s="28"/>
      <c r="JJH29" s="55"/>
      <c r="JJI29" s="53"/>
      <c r="JJM29" s="28"/>
      <c r="JJO29" s="55"/>
      <c r="JJP29" s="53"/>
      <c r="JJT29" s="28"/>
      <c r="JJV29" s="55"/>
      <c r="JJW29" s="53"/>
      <c r="JKA29" s="28"/>
      <c r="JKC29" s="55"/>
      <c r="JKD29" s="53"/>
      <c r="JKH29" s="28"/>
      <c r="JKJ29" s="55"/>
      <c r="JKK29" s="53"/>
      <c r="JKO29" s="28"/>
      <c r="JKQ29" s="55"/>
      <c r="JKR29" s="53"/>
      <c r="JKV29" s="28"/>
      <c r="JKX29" s="55"/>
      <c r="JKY29" s="53"/>
      <c r="JLC29" s="28"/>
      <c r="JLE29" s="55"/>
      <c r="JLF29" s="53"/>
      <c r="JLJ29" s="28"/>
      <c r="JLL29" s="55"/>
      <c r="JLM29" s="53"/>
      <c r="JLQ29" s="28"/>
      <c r="JLS29" s="55"/>
      <c r="JLT29" s="53"/>
      <c r="JLX29" s="28"/>
      <c r="JLZ29" s="55"/>
      <c r="JMA29" s="53"/>
      <c r="JME29" s="28"/>
      <c r="JMG29" s="55"/>
      <c r="JMH29" s="53"/>
      <c r="JML29" s="28"/>
      <c r="JMN29" s="55"/>
      <c r="JMO29" s="53"/>
      <c r="JMS29" s="28"/>
      <c r="JMU29" s="55"/>
      <c r="JMV29" s="53"/>
      <c r="JMZ29" s="28"/>
      <c r="JNB29" s="55"/>
      <c r="JNC29" s="53"/>
      <c r="JNG29" s="28"/>
      <c r="JNI29" s="55"/>
      <c r="JNJ29" s="53"/>
      <c r="JNN29" s="28"/>
      <c r="JNP29" s="55"/>
      <c r="JNQ29" s="53"/>
      <c r="JNU29" s="28"/>
      <c r="JNW29" s="55"/>
      <c r="JNX29" s="53"/>
      <c r="JOB29" s="28"/>
      <c r="JOD29" s="55"/>
      <c r="JOE29" s="53"/>
      <c r="JOI29" s="28"/>
      <c r="JOK29" s="55"/>
      <c r="JOL29" s="53"/>
      <c r="JOP29" s="28"/>
      <c r="JOR29" s="55"/>
      <c r="JOS29" s="53"/>
      <c r="JOW29" s="28"/>
      <c r="JOY29" s="55"/>
      <c r="JOZ29" s="53"/>
      <c r="JPD29" s="28"/>
      <c r="JPF29" s="55"/>
      <c r="JPG29" s="53"/>
      <c r="JPK29" s="28"/>
      <c r="JPM29" s="55"/>
      <c r="JPN29" s="53"/>
      <c r="JPR29" s="28"/>
      <c r="JPT29" s="55"/>
      <c r="JPU29" s="53"/>
      <c r="JPY29" s="28"/>
      <c r="JQA29" s="55"/>
      <c r="JQB29" s="53"/>
      <c r="JQF29" s="28"/>
      <c r="JQH29" s="55"/>
      <c r="JQI29" s="53"/>
      <c r="JQM29" s="28"/>
      <c r="JQO29" s="55"/>
      <c r="JQP29" s="53"/>
      <c r="JQT29" s="28"/>
      <c r="JQV29" s="55"/>
      <c r="JQW29" s="53"/>
      <c r="JRA29" s="28"/>
      <c r="JRC29" s="55"/>
      <c r="JRD29" s="53"/>
      <c r="JRH29" s="28"/>
      <c r="JRJ29" s="55"/>
      <c r="JRK29" s="53"/>
      <c r="JRO29" s="28"/>
      <c r="JRQ29" s="55"/>
      <c r="JRR29" s="53"/>
      <c r="JRV29" s="28"/>
      <c r="JRX29" s="55"/>
      <c r="JRY29" s="53"/>
      <c r="JSC29" s="28"/>
      <c r="JSE29" s="55"/>
      <c r="JSF29" s="53"/>
      <c r="JSJ29" s="28"/>
      <c r="JSL29" s="55"/>
      <c r="JSM29" s="53"/>
      <c r="JSQ29" s="28"/>
      <c r="JSS29" s="55"/>
      <c r="JST29" s="53"/>
      <c r="JSX29" s="28"/>
      <c r="JSZ29" s="55"/>
      <c r="JTA29" s="53"/>
      <c r="JTE29" s="28"/>
      <c r="JTG29" s="55"/>
      <c r="JTH29" s="53"/>
      <c r="JTL29" s="28"/>
      <c r="JTN29" s="55"/>
      <c r="JTO29" s="53"/>
      <c r="JTS29" s="28"/>
      <c r="JTU29" s="55"/>
      <c r="JTV29" s="53"/>
      <c r="JTZ29" s="28"/>
      <c r="JUB29" s="55"/>
      <c r="JUC29" s="53"/>
      <c r="JUG29" s="28"/>
      <c r="JUI29" s="55"/>
      <c r="JUJ29" s="53"/>
      <c r="JUN29" s="28"/>
      <c r="JUP29" s="55"/>
      <c r="JUQ29" s="53"/>
      <c r="JUU29" s="28"/>
      <c r="JUW29" s="55"/>
      <c r="JUX29" s="53"/>
      <c r="JVB29" s="28"/>
      <c r="JVD29" s="55"/>
      <c r="JVE29" s="53"/>
      <c r="JVI29" s="28"/>
      <c r="JVK29" s="55"/>
      <c r="JVL29" s="53"/>
      <c r="JVP29" s="28"/>
      <c r="JVR29" s="55"/>
      <c r="JVS29" s="53"/>
      <c r="JVW29" s="28"/>
      <c r="JVY29" s="55"/>
      <c r="JVZ29" s="53"/>
      <c r="JWD29" s="28"/>
      <c r="JWF29" s="55"/>
      <c r="JWG29" s="53"/>
      <c r="JWK29" s="28"/>
      <c r="JWM29" s="55"/>
      <c r="JWN29" s="53"/>
      <c r="JWR29" s="28"/>
      <c r="JWT29" s="55"/>
      <c r="JWU29" s="53"/>
      <c r="JWY29" s="28"/>
      <c r="JXA29" s="55"/>
      <c r="JXB29" s="53"/>
      <c r="JXF29" s="28"/>
      <c r="JXH29" s="55"/>
      <c r="JXI29" s="53"/>
      <c r="JXM29" s="28"/>
      <c r="JXO29" s="55"/>
      <c r="JXP29" s="53"/>
      <c r="JXT29" s="28"/>
      <c r="JXV29" s="55"/>
      <c r="JXW29" s="53"/>
      <c r="JYA29" s="28"/>
      <c r="JYC29" s="55"/>
      <c r="JYD29" s="53"/>
      <c r="JYH29" s="28"/>
      <c r="JYJ29" s="55"/>
      <c r="JYK29" s="53"/>
      <c r="JYO29" s="28"/>
      <c r="JYQ29" s="55"/>
      <c r="JYR29" s="53"/>
      <c r="JYV29" s="28"/>
      <c r="JYX29" s="55"/>
      <c r="JYY29" s="53"/>
      <c r="JZC29" s="28"/>
      <c r="JZE29" s="55"/>
      <c r="JZF29" s="53"/>
      <c r="JZJ29" s="28"/>
      <c r="JZL29" s="55"/>
      <c r="JZM29" s="53"/>
      <c r="JZQ29" s="28"/>
      <c r="JZS29" s="55"/>
      <c r="JZT29" s="53"/>
      <c r="JZX29" s="28"/>
      <c r="JZZ29" s="55"/>
      <c r="KAA29" s="53"/>
      <c r="KAE29" s="28"/>
      <c r="KAG29" s="55"/>
      <c r="KAH29" s="53"/>
      <c r="KAL29" s="28"/>
      <c r="KAN29" s="55"/>
      <c r="KAO29" s="53"/>
      <c r="KAS29" s="28"/>
      <c r="KAU29" s="55"/>
      <c r="KAV29" s="53"/>
      <c r="KAZ29" s="28"/>
      <c r="KBB29" s="55"/>
      <c r="KBC29" s="53"/>
      <c r="KBG29" s="28"/>
      <c r="KBI29" s="55"/>
      <c r="KBJ29" s="53"/>
      <c r="KBN29" s="28"/>
      <c r="KBP29" s="55"/>
      <c r="KBQ29" s="53"/>
      <c r="KBU29" s="28"/>
      <c r="KBW29" s="55"/>
      <c r="KBX29" s="53"/>
      <c r="KCB29" s="28"/>
      <c r="KCD29" s="55"/>
      <c r="KCE29" s="53"/>
      <c r="KCI29" s="28"/>
      <c r="KCK29" s="55"/>
      <c r="KCL29" s="53"/>
      <c r="KCP29" s="28"/>
      <c r="KCR29" s="55"/>
      <c r="KCS29" s="53"/>
      <c r="KCW29" s="28"/>
      <c r="KCY29" s="55"/>
      <c r="KCZ29" s="53"/>
      <c r="KDD29" s="28"/>
      <c r="KDF29" s="55"/>
      <c r="KDG29" s="53"/>
      <c r="KDK29" s="28"/>
      <c r="KDM29" s="55"/>
      <c r="KDN29" s="53"/>
      <c r="KDR29" s="28"/>
      <c r="KDT29" s="55"/>
      <c r="KDU29" s="53"/>
      <c r="KDY29" s="28"/>
      <c r="KEA29" s="55"/>
      <c r="KEB29" s="53"/>
      <c r="KEF29" s="28"/>
      <c r="KEH29" s="55"/>
      <c r="KEI29" s="53"/>
      <c r="KEM29" s="28"/>
      <c r="KEO29" s="55"/>
      <c r="KEP29" s="53"/>
      <c r="KET29" s="28"/>
      <c r="KEV29" s="55"/>
      <c r="KEW29" s="53"/>
      <c r="KFA29" s="28"/>
      <c r="KFC29" s="55"/>
      <c r="KFD29" s="53"/>
      <c r="KFH29" s="28"/>
      <c r="KFJ29" s="55"/>
      <c r="KFK29" s="53"/>
      <c r="KFO29" s="28"/>
      <c r="KFQ29" s="55"/>
      <c r="KFR29" s="53"/>
      <c r="KFV29" s="28"/>
      <c r="KFX29" s="55"/>
      <c r="KFY29" s="53"/>
      <c r="KGC29" s="28"/>
      <c r="KGE29" s="55"/>
      <c r="KGF29" s="53"/>
      <c r="KGJ29" s="28"/>
      <c r="KGL29" s="55"/>
      <c r="KGM29" s="53"/>
      <c r="KGQ29" s="28"/>
      <c r="KGS29" s="55"/>
      <c r="KGT29" s="53"/>
      <c r="KGX29" s="28"/>
      <c r="KGZ29" s="55"/>
      <c r="KHA29" s="53"/>
      <c r="KHE29" s="28"/>
      <c r="KHG29" s="55"/>
      <c r="KHH29" s="53"/>
      <c r="KHL29" s="28"/>
      <c r="KHN29" s="55"/>
      <c r="KHO29" s="53"/>
      <c r="KHS29" s="28"/>
      <c r="KHU29" s="55"/>
      <c r="KHV29" s="53"/>
      <c r="KHZ29" s="28"/>
      <c r="KIB29" s="55"/>
      <c r="KIC29" s="53"/>
      <c r="KIG29" s="28"/>
      <c r="KII29" s="55"/>
      <c r="KIJ29" s="53"/>
      <c r="KIN29" s="28"/>
      <c r="KIP29" s="55"/>
      <c r="KIQ29" s="53"/>
      <c r="KIU29" s="28"/>
      <c r="KIW29" s="55"/>
      <c r="KIX29" s="53"/>
      <c r="KJB29" s="28"/>
      <c r="KJD29" s="55"/>
      <c r="KJE29" s="53"/>
      <c r="KJI29" s="28"/>
      <c r="KJK29" s="55"/>
      <c r="KJL29" s="53"/>
      <c r="KJP29" s="28"/>
      <c r="KJR29" s="55"/>
      <c r="KJS29" s="53"/>
      <c r="KJW29" s="28"/>
      <c r="KJY29" s="55"/>
      <c r="KJZ29" s="53"/>
      <c r="KKD29" s="28"/>
      <c r="KKF29" s="55"/>
      <c r="KKG29" s="53"/>
      <c r="KKK29" s="28"/>
      <c r="KKM29" s="55"/>
      <c r="KKN29" s="53"/>
      <c r="KKR29" s="28"/>
      <c r="KKT29" s="55"/>
      <c r="KKU29" s="53"/>
      <c r="KKY29" s="28"/>
      <c r="KLA29" s="55"/>
      <c r="KLB29" s="53"/>
      <c r="KLF29" s="28"/>
      <c r="KLH29" s="55"/>
      <c r="KLI29" s="53"/>
      <c r="KLM29" s="28"/>
      <c r="KLO29" s="55"/>
      <c r="KLP29" s="53"/>
      <c r="KLT29" s="28"/>
      <c r="KLV29" s="55"/>
      <c r="KLW29" s="53"/>
      <c r="KMA29" s="28"/>
      <c r="KMC29" s="55"/>
      <c r="KMD29" s="53"/>
      <c r="KMH29" s="28"/>
      <c r="KMJ29" s="55"/>
      <c r="KMK29" s="53"/>
      <c r="KMO29" s="28"/>
      <c r="KMQ29" s="55"/>
      <c r="KMR29" s="53"/>
      <c r="KMV29" s="28"/>
      <c r="KMX29" s="55"/>
      <c r="KMY29" s="53"/>
      <c r="KNC29" s="28"/>
      <c r="KNE29" s="55"/>
      <c r="KNF29" s="53"/>
      <c r="KNJ29" s="28"/>
      <c r="KNL29" s="55"/>
      <c r="KNM29" s="53"/>
      <c r="KNQ29" s="28"/>
      <c r="KNS29" s="55"/>
      <c r="KNT29" s="53"/>
      <c r="KNX29" s="28"/>
      <c r="KNZ29" s="55"/>
      <c r="KOA29" s="53"/>
      <c r="KOE29" s="28"/>
      <c r="KOG29" s="55"/>
      <c r="KOH29" s="53"/>
      <c r="KOL29" s="28"/>
      <c r="KON29" s="55"/>
      <c r="KOO29" s="53"/>
      <c r="KOS29" s="28"/>
      <c r="KOU29" s="55"/>
      <c r="KOV29" s="53"/>
      <c r="KOZ29" s="28"/>
      <c r="KPB29" s="55"/>
      <c r="KPC29" s="53"/>
      <c r="KPG29" s="28"/>
      <c r="KPI29" s="55"/>
      <c r="KPJ29" s="53"/>
      <c r="KPN29" s="28"/>
      <c r="KPP29" s="55"/>
      <c r="KPQ29" s="53"/>
      <c r="KPU29" s="28"/>
      <c r="KPW29" s="55"/>
      <c r="KPX29" s="53"/>
      <c r="KQB29" s="28"/>
      <c r="KQD29" s="55"/>
      <c r="KQE29" s="53"/>
      <c r="KQI29" s="28"/>
      <c r="KQK29" s="55"/>
      <c r="KQL29" s="53"/>
      <c r="KQP29" s="28"/>
      <c r="KQR29" s="55"/>
      <c r="KQS29" s="53"/>
      <c r="KQW29" s="28"/>
      <c r="KQY29" s="55"/>
      <c r="KQZ29" s="53"/>
      <c r="KRD29" s="28"/>
      <c r="KRF29" s="55"/>
      <c r="KRG29" s="53"/>
      <c r="KRK29" s="28"/>
      <c r="KRM29" s="55"/>
      <c r="KRN29" s="53"/>
      <c r="KRR29" s="28"/>
      <c r="KRT29" s="55"/>
      <c r="KRU29" s="53"/>
      <c r="KRY29" s="28"/>
      <c r="KSA29" s="55"/>
      <c r="KSB29" s="53"/>
      <c r="KSF29" s="28"/>
      <c r="KSH29" s="55"/>
      <c r="KSI29" s="53"/>
      <c r="KSM29" s="28"/>
      <c r="KSO29" s="55"/>
      <c r="KSP29" s="53"/>
      <c r="KST29" s="28"/>
      <c r="KSV29" s="55"/>
      <c r="KSW29" s="53"/>
      <c r="KTA29" s="28"/>
      <c r="KTC29" s="55"/>
      <c r="KTD29" s="53"/>
      <c r="KTH29" s="28"/>
      <c r="KTJ29" s="55"/>
      <c r="KTK29" s="53"/>
      <c r="KTO29" s="28"/>
      <c r="KTQ29" s="55"/>
      <c r="KTR29" s="53"/>
      <c r="KTV29" s="28"/>
      <c r="KTX29" s="55"/>
      <c r="KTY29" s="53"/>
      <c r="KUC29" s="28"/>
      <c r="KUE29" s="55"/>
      <c r="KUF29" s="53"/>
      <c r="KUJ29" s="28"/>
      <c r="KUL29" s="55"/>
      <c r="KUM29" s="53"/>
      <c r="KUQ29" s="28"/>
      <c r="KUS29" s="55"/>
      <c r="KUT29" s="53"/>
      <c r="KUX29" s="28"/>
      <c r="KUZ29" s="55"/>
      <c r="KVA29" s="53"/>
      <c r="KVE29" s="28"/>
      <c r="KVG29" s="55"/>
      <c r="KVH29" s="53"/>
      <c r="KVL29" s="28"/>
      <c r="KVN29" s="55"/>
      <c r="KVO29" s="53"/>
      <c r="KVS29" s="28"/>
      <c r="KVU29" s="55"/>
      <c r="KVV29" s="53"/>
      <c r="KVZ29" s="28"/>
      <c r="KWB29" s="55"/>
      <c r="KWC29" s="53"/>
      <c r="KWG29" s="28"/>
      <c r="KWI29" s="55"/>
      <c r="KWJ29" s="53"/>
      <c r="KWN29" s="28"/>
      <c r="KWP29" s="55"/>
      <c r="KWQ29" s="53"/>
      <c r="KWU29" s="28"/>
      <c r="KWW29" s="55"/>
      <c r="KWX29" s="53"/>
      <c r="KXB29" s="28"/>
      <c r="KXD29" s="55"/>
      <c r="KXE29" s="53"/>
      <c r="KXI29" s="28"/>
      <c r="KXK29" s="55"/>
      <c r="KXL29" s="53"/>
      <c r="KXP29" s="28"/>
      <c r="KXR29" s="55"/>
      <c r="KXS29" s="53"/>
      <c r="KXW29" s="28"/>
      <c r="KXY29" s="55"/>
      <c r="KXZ29" s="53"/>
      <c r="KYD29" s="28"/>
      <c r="KYF29" s="55"/>
      <c r="KYG29" s="53"/>
      <c r="KYK29" s="28"/>
      <c r="KYM29" s="55"/>
      <c r="KYN29" s="53"/>
      <c r="KYR29" s="28"/>
      <c r="KYT29" s="55"/>
      <c r="KYU29" s="53"/>
      <c r="KYY29" s="28"/>
      <c r="KZA29" s="55"/>
      <c r="KZB29" s="53"/>
      <c r="KZF29" s="28"/>
      <c r="KZH29" s="55"/>
      <c r="KZI29" s="53"/>
      <c r="KZM29" s="28"/>
      <c r="KZO29" s="55"/>
      <c r="KZP29" s="53"/>
      <c r="KZT29" s="28"/>
      <c r="KZV29" s="55"/>
      <c r="KZW29" s="53"/>
      <c r="LAA29" s="28"/>
      <c r="LAC29" s="55"/>
      <c r="LAD29" s="53"/>
      <c r="LAH29" s="28"/>
      <c r="LAJ29" s="55"/>
      <c r="LAK29" s="53"/>
      <c r="LAO29" s="28"/>
      <c r="LAQ29" s="55"/>
      <c r="LAR29" s="53"/>
      <c r="LAV29" s="28"/>
      <c r="LAX29" s="55"/>
      <c r="LAY29" s="53"/>
      <c r="LBC29" s="28"/>
      <c r="LBE29" s="55"/>
      <c r="LBF29" s="53"/>
      <c r="LBJ29" s="28"/>
      <c r="LBL29" s="55"/>
      <c r="LBM29" s="53"/>
      <c r="LBQ29" s="28"/>
      <c r="LBS29" s="55"/>
      <c r="LBT29" s="53"/>
      <c r="LBX29" s="28"/>
      <c r="LBZ29" s="55"/>
      <c r="LCA29" s="53"/>
      <c r="LCE29" s="28"/>
      <c r="LCG29" s="55"/>
      <c r="LCH29" s="53"/>
      <c r="LCL29" s="28"/>
      <c r="LCN29" s="55"/>
      <c r="LCO29" s="53"/>
      <c r="LCS29" s="28"/>
      <c r="LCU29" s="55"/>
      <c r="LCV29" s="53"/>
      <c r="LCZ29" s="28"/>
      <c r="LDB29" s="55"/>
      <c r="LDC29" s="53"/>
      <c r="LDG29" s="28"/>
      <c r="LDI29" s="55"/>
      <c r="LDJ29" s="53"/>
      <c r="LDN29" s="28"/>
      <c r="LDP29" s="55"/>
      <c r="LDQ29" s="53"/>
      <c r="LDU29" s="28"/>
      <c r="LDW29" s="55"/>
      <c r="LDX29" s="53"/>
      <c r="LEB29" s="28"/>
      <c r="LED29" s="55"/>
      <c r="LEE29" s="53"/>
      <c r="LEI29" s="28"/>
      <c r="LEK29" s="55"/>
      <c r="LEL29" s="53"/>
      <c r="LEP29" s="28"/>
      <c r="LER29" s="55"/>
      <c r="LES29" s="53"/>
      <c r="LEW29" s="28"/>
      <c r="LEY29" s="55"/>
      <c r="LEZ29" s="53"/>
      <c r="LFD29" s="28"/>
      <c r="LFF29" s="55"/>
      <c r="LFG29" s="53"/>
      <c r="LFK29" s="28"/>
      <c r="LFM29" s="55"/>
      <c r="LFN29" s="53"/>
      <c r="LFR29" s="28"/>
      <c r="LFT29" s="55"/>
      <c r="LFU29" s="53"/>
      <c r="LFY29" s="28"/>
      <c r="LGA29" s="55"/>
      <c r="LGB29" s="53"/>
      <c r="LGF29" s="28"/>
      <c r="LGH29" s="55"/>
      <c r="LGI29" s="53"/>
      <c r="LGM29" s="28"/>
      <c r="LGO29" s="55"/>
      <c r="LGP29" s="53"/>
      <c r="LGT29" s="28"/>
      <c r="LGV29" s="55"/>
      <c r="LGW29" s="53"/>
      <c r="LHA29" s="28"/>
      <c r="LHC29" s="55"/>
      <c r="LHD29" s="53"/>
      <c r="LHH29" s="28"/>
      <c r="LHJ29" s="55"/>
      <c r="LHK29" s="53"/>
      <c r="LHO29" s="28"/>
      <c r="LHQ29" s="55"/>
      <c r="LHR29" s="53"/>
      <c r="LHV29" s="28"/>
      <c r="LHX29" s="55"/>
      <c r="LHY29" s="53"/>
      <c r="LIC29" s="28"/>
      <c r="LIE29" s="55"/>
      <c r="LIF29" s="53"/>
      <c r="LIJ29" s="28"/>
      <c r="LIL29" s="55"/>
      <c r="LIM29" s="53"/>
      <c r="LIQ29" s="28"/>
      <c r="LIS29" s="55"/>
      <c r="LIT29" s="53"/>
      <c r="LIX29" s="28"/>
      <c r="LIZ29" s="55"/>
      <c r="LJA29" s="53"/>
      <c r="LJE29" s="28"/>
      <c r="LJG29" s="55"/>
      <c r="LJH29" s="53"/>
      <c r="LJL29" s="28"/>
      <c r="LJN29" s="55"/>
      <c r="LJO29" s="53"/>
      <c r="LJS29" s="28"/>
      <c r="LJU29" s="55"/>
      <c r="LJV29" s="53"/>
      <c r="LJZ29" s="28"/>
      <c r="LKB29" s="55"/>
      <c r="LKC29" s="53"/>
      <c r="LKG29" s="28"/>
      <c r="LKI29" s="55"/>
      <c r="LKJ29" s="53"/>
      <c r="LKN29" s="28"/>
      <c r="LKP29" s="55"/>
      <c r="LKQ29" s="53"/>
      <c r="LKU29" s="28"/>
      <c r="LKW29" s="55"/>
      <c r="LKX29" s="53"/>
      <c r="LLB29" s="28"/>
      <c r="LLD29" s="55"/>
      <c r="LLE29" s="53"/>
      <c r="LLI29" s="28"/>
      <c r="LLK29" s="55"/>
      <c r="LLL29" s="53"/>
      <c r="LLP29" s="28"/>
      <c r="LLR29" s="55"/>
      <c r="LLS29" s="53"/>
      <c r="LLW29" s="28"/>
      <c r="LLY29" s="55"/>
      <c r="LLZ29" s="53"/>
      <c r="LMD29" s="28"/>
      <c r="LMF29" s="55"/>
      <c r="LMG29" s="53"/>
      <c r="LMK29" s="28"/>
      <c r="LMM29" s="55"/>
      <c r="LMN29" s="53"/>
      <c r="LMR29" s="28"/>
      <c r="LMT29" s="55"/>
      <c r="LMU29" s="53"/>
      <c r="LMY29" s="28"/>
      <c r="LNA29" s="55"/>
      <c r="LNB29" s="53"/>
      <c r="LNF29" s="28"/>
      <c r="LNH29" s="55"/>
      <c r="LNI29" s="53"/>
      <c r="LNM29" s="28"/>
      <c r="LNO29" s="55"/>
      <c r="LNP29" s="53"/>
      <c r="LNT29" s="28"/>
      <c r="LNV29" s="55"/>
      <c r="LNW29" s="53"/>
      <c r="LOA29" s="28"/>
      <c r="LOC29" s="55"/>
      <c r="LOD29" s="53"/>
      <c r="LOH29" s="28"/>
      <c r="LOJ29" s="55"/>
      <c r="LOK29" s="53"/>
      <c r="LOO29" s="28"/>
      <c r="LOQ29" s="55"/>
      <c r="LOR29" s="53"/>
      <c r="LOV29" s="28"/>
      <c r="LOX29" s="55"/>
      <c r="LOY29" s="53"/>
      <c r="LPC29" s="28"/>
      <c r="LPE29" s="55"/>
      <c r="LPF29" s="53"/>
      <c r="LPJ29" s="28"/>
      <c r="LPL29" s="55"/>
      <c r="LPM29" s="53"/>
      <c r="LPQ29" s="28"/>
      <c r="LPS29" s="55"/>
      <c r="LPT29" s="53"/>
      <c r="LPX29" s="28"/>
      <c r="LPZ29" s="55"/>
      <c r="LQA29" s="53"/>
      <c r="LQE29" s="28"/>
      <c r="LQG29" s="55"/>
      <c r="LQH29" s="53"/>
      <c r="LQL29" s="28"/>
      <c r="LQN29" s="55"/>
      <c r="LQO29" s="53"/>
      <c r="LQS29" s="28"/>
      <c r="LQU29" s="55"/>
      <c r="LQV29" s="53"/>
      <c r="LQZ29" s="28"/>
      <c r="LRB29" s="55"/>
      <c r="LRC29" s="53"/>
      <c r="LRG29" s="28"/>
      <c r="LRI29" s="55"/>
      <c r="LRJ29" s="53"/>
      <c r="LRN29" s="28"/>
      <c r="LRP29" s="55"/>
      <c r="LRQ29" s="53"/>
      <c r="LRU29" s="28"/>
      <c r="LRW29" s="55"/>
      <c r="LRX29" s="53"/>
      <c r="LSB29" s="28"/>
      <c r="LSD29" s="55"/>
      <c r="LSE29" s="53"/>
      <c r="LSI29" s="28"/>
      <c r="LSK29" s="55"/>
      <c r="LSL29" s="53"/>
      <c r="LSP29" s="28"/>
      <c r="LSR29" s="55"/>
      <c r="LSS29" s="53"/>
      <c r="LSW29" s="28"/>
      <c r="LSY29" s="55"/>
      <c r="LSZ29" s="53"/>
      <c r="LTD29" s="28"/>
      <c r="LTF29" s="55"/>
      <c r="LTG29" s="53"/>
      <c r="LTK29" s="28"/>
      <c r="LTM29" s="55"/>
      <c r="LTN29" s="53"/>
      <c r="LTR29" s="28"/>
      <c r="LTT29" s="55"/>
      <c r="LTU29" s="53"/>
      <c r="LTY29" s="28"/>
      <c r="LUA29" s="55"/>
      <c r="LUB29" s="53"/>
      <c r="LUF29" s="28"/>
      <c r="LUH29" s="55"/>
      <c r="LUI29" s="53"/>
      <c r="LUM29" s="28"/>
      <c r="LUO29" s="55"/>
      <c r="LUP29" s="53"/>
      <c r="LUT29" s="28"/>
      <c r="LUV29" s="55"/>
      <c r="LUW29" s="53"/>
      <c r="LVA29" s="28"/>
      <c r="LVC29" s="55"/>
      <c r="LVD29" s="53"/>
      <c r="LVH29" s="28"/>
      <c r="LVJ29" s="55"/>
      <c r="LVK29" s="53"/>
      <c r="LVO29" s="28"/>
      <c r="LVQ29" s="55"/>
      <c r="LVR29" s="53"/>
      <c r="LVV29" s="28"/>
      <c r="LVX29" s="55"/>
      <c r="LVY29" s="53"/>
      <c r="LWC29" s="28"/>
      <c r="LWE29" s="55"/>
      <c r="LWF29" s="53"/>
      <c r="LWJ29" s="28"/>
      <c r="LWL29" s="55"/>
      <c r="LWM29" s="53"/>
      <c r="LWQ29" s="28"/>
      <c r="LWS29" s="55"/>
      <c r="LWT29" s="53"/>
      <c r="LWX29" s="28"/>
      <c r="LWZ29" s="55"/>
      <c r="LXA29" s="53"/>
      <c r="LXE29" s="28"/>
      <c r="LXG29" s="55"/>
      <c r="LXH29" s="53"/>
      <c r="LXL29" s="28"/>
      <c r="LXN29" s="55"/>
      <c r="LXO29" s="53"/>
      <c r="LXS29" s="28"/>
      <c r="LXU29" s="55"/>
      <c r="LXV29" s="53"/>
      <c r="LXZ29" s="28"/>
      <c r="LYB29" s="55"/>
      <c r="LYC29" s="53"/>
      <c r="LYG29" s="28"/>
      <c r="LYI29" s="55"/>
      <c r="LYJ29" s="53"/>
      <c r="LYN29" s="28"/>
      <c r="LYP29" s="55"/>
      <c r="LYQ29" s="53"/>
      <c r="LYU29" s="28"/>
      <c r="LYW29" s="55"/>
      <c r="LYX29" s="53"/>
      <c r="LZB29" s="28"/>
      <c r="LZD29" s="55"/>
      <c r="LZE29" s="53"/>
      <c r="LZI29" s="28"/>
      <c r="LZK29" s="55"/>
      <c r="LZL29" s="53"/>
      <c r="LZP29" s="28"/>
      <c r="LZR29" s="55"/>
      <c r="LZS29" s="53"/>
      <c r="LZW29" s="28"/>
      <c r="LZY29" s="55"/>
      <c r="LZZ29" s="53"/>
      <c r="MAD29" s="28"/>
      <c r="MAF29" s="55"/>
      <c r="MAG29" s="53"/>
      <c r="MAK29" s="28"/>
      <c r="MAM29" s="55"/>
      <c r="MAN29" s="53"/>
      <c r="MAR29" s="28"/>
      <c r="MAT29" s="55"/>
      <c r="MAU29" s="53"/>
      <c r="MAY29" s="28"/>
      <c r="MBA29" s="55"/>
      <c r="MBB29" s="53"/>
      <c r="MBF29" s="28"/>
      <c r="MBH29" s="55"/>
      <c r="MBI29" s="53"/>
      <c r="MBM29" s="28"/>
      <c r="MBO29" s="55"/>
      <c r="MBP29" s="53"/>
      <c r="MBT29" s="28"/>
      <c r="MBV29" s="55"/>
      <c r="MBW29" s="53"/>
      <c r="MCA29" s="28"/>
      <c r="MCC29" s="55"/>
      <c r="MCD29" s="53"/>
      <c r="MCH29" s="28"/>
      <c r="MCJ29" s="55"/>
      <c r="MCK29" s="53"/>
      <c r="MCO29" s="28"/>
      <c r="MCQ29" s="55"/>
      <c r="MCR29" s="53"/>
      <c r="MCV29" s="28"/>
      <c r="MCX29" s="55"/>
      <c r="MCY29" s="53"/>
      <c r="MDC29" s="28"/>
      <c r="MDE29" s="55"/>
      <c r="MDF29" s="53"/>
      <c r="MDJ29" s="28"/>
      <c r="MDL29" s="55"/>
      <c r="MDM29" s="53"/>
      <c r="MDQ29" s="28"/>
      <c r="MDS29" s="55"/>
      <c r="MDT29" s="53"/>
      <c r="MDX29" s="28"/>
      <c r="MDZ29" s="55"/>
      <c r="MEA29" s="53"/>
      <c r="MEE29" s="28"/>
      <c r="MEG29" s="55"/>
      <c r="MEH29" s="53"/>
      <c r="MEL29" s="28"/>
      <c r="MEN29" s="55"/>
      <c r="MEO29" s="53"/>
      <c r="MES29" s="28"/>
      <c r="MEU29" s="55"/>
      <c r="MEV29" s="53"/>
      <c r="MEZ29" s="28"/>
      <c r="MFB29" s="55"/>
      <c r="MFC29" s="53"/>
      <c r="MFG29" s="28"/>
      <c r="MFI29" s="55"/>
      <c r="MFJ29" s="53"/>
      <c r="MFN29" s="28"/>
      <c r="MFP29" s="55"/>
      <c r="MFQ29" s="53"/>
      <c r="MFU29" s="28"/>
      <c r="MFW29" s="55"/>
      <c r="MFX29" s="53"/>
      <c r="MGB29" s="28"/>
      <c r="MGD29" s="55"/>
      <c r="MGE29" s="53"/>
      <c r="MGI29" s="28"/>
      <c r="MGK29" s="55"/>
      <c r="MGL29" s="53"/>
      <c r="MGP29" s="28"/>
      <c r="MGR29" s="55"/>
      <c r="MGS29" s="53"/>
      <c r="MGW29" s="28"/>
      <c r="MGY29" s="55"/>
      <c r="MGZ29" s="53"/>
      <c r="MHD29" s="28"/>
      <c r="MHF29" s="55"/>
      <c r="MHG29" s="53"/>
      <c r="MHK29" s="28"/>
      <c r="MHM29" s="55"/>
      <c r="MHN29" s="53"/>
      <c r="MHR29" s="28"/>
      <c r="MHT29" s="55"/>
      <c r="MHU29" s="53"/>
      <c r="MHY29" s="28"/>
      <c r="MIA29" s="55"/>
      <c r="MIB29" s="53"/>
      <c r="MIF29" s="28"/>
      <c r="MIH29" s="55"/>
      <c r="MII29" s="53"/>
      <c r="MIM29" s="28"/>
      <c r="MIO29" s="55"/>
      <c r="MIP29" s="53"/>
      <c r="MIT29" s="28"/>
      <c r="MIV29" s="55"/>
      <c r="MIW29" s="53"/>
      <c r="MJA29" s="28"/>
      <c r="MJC29" s="55"/>
      <c r="MJD29" s="53"/>
      <c r="MJH29" s="28"/>
      <c r="MJJ29" s="55"/>
      <c r="MJK29" s="53"/>
      <c r="MJO29" s="28"/>
      <c r="MJQ29" s="55"/>
      <c r="MJR29" s="53"/>
      <c r="MJV29" s="28"/>
      <c r="MJX29" s="55"/>
      <c r="MJY29" s="53"/>
      <c r="MKC29" s="28"/>
      <c r="MKE29" s="55"/>
      <c r="MKF29" s="53"/>
      <c r="MKJ29" s="28"/>
      <c r="MKL29" s="55"/>
      <c r="MKM29" s="53"/>
      <c r="MKQ29" s="28"/>
      <c r="MKS29" s="55"/>
      <c r="MKT29" s="53"/>
      <c r="MKX29" s="28"/>
      <c r="MKZ29" s="55"/>
      <c r="MLA29" s="53"/>
      <c r="MLE29" s="28"/>
      <c r="MLG29" s="55"/>
      <c r="MLH29" s="53"/>
      <c r="MLL29" s="28"/>
      <c r="MLN29" s="55"/>
      <c r="MLO29" s="53"/>
      <c r="MLS29" s="28"/>
      <c r="MLU29" s="55"/>
      <c r="MLV29" s="53"/>
      <c r="MLZ29" s="28"/>
      <c r="MMB29" s="55"/>
      <c r="MMC29" s="53"/>
      <c r="MMG29" s="28"/>
      <c r="MMI29" s="55"/>
      <c r="MMJ29" s="53"/>
      <c r="MMN29" s="28"/>
      <c r="MMP29" s="55"/>
      <c r="MMQ29" s="53"/>
      <c r="MMU29" s="28"/>
      <c r="MMW29" s="55"/>
      <c r="MMX29" s="53"/>
      <c r="MNB29" s="28"/>
      <c r="MND29" s="55"/>
      <c r="MNE29" s="53"/>
      <c r="MNI29" s="28"/>
      <c r="MNK29" s="55"/>
      <c r="MNL29" s="53"/>
      <c r="MNP29" s="28"/>
      <c r="MNR29" s="55"/>
      <c r="MNS29" s="53"/>
      <c r="MNW29" s="28"/>
      <c r="MNY29" s="55"/>
      <c r="MNZ29" s="53"/>
      <c r="MOD29" s="28"/>
      <c r="MOF29" s="55"/>
      <c r="MOG29" s="53"/>
      <c r="MOK29" s="28"/>
      <c r="MOM29" s="55"/>
      <c r="MON29" s="53"/>
      <c r="MOR29" s="28"/>
      <c r="MOT29" s="55"/>
      <c r="MOU29" s="53"/>
      <c r="MOY29" s="28"/>
      <c r="MPA29" s="55"/>
      <c r="MPB29" s="53"/>
      <c r="MPF29" s="28"/>
      <c r="MPH29" s="55"/>
      <c r="MPI29" s="53"/>
      <c r="MPM29" s="28"/>
      <c r="MPO29" s="55"/>
      <c r="MPP29" s="53"/>
      <c r="MPT29" s="28"/>
      <c r="MPV29" s="55"/>
      <c r="MPW29" s="53"/>
      <c r="MQA29" s="28"/>
      <c r="MQC29" s="55"/>
      <c r="MQD29" s="53"/>
      <c r="MQH29" s="28"/>
      <c r="MQJ29" s="55"/>
      <c r="MQK29" s="53"/>
      <c r="MQO29" s="28"/>
      <c r="MQQ29" s="55"/>
      <c r="MQR29" s="53"/>
      <c r="MQV29" s="28"/>
      <c r="MQX29" s="55"/>
      <c r="MQY29" s="53"/>
      <c r="MRC29" s="28"/>
      <c r="MRE29" s="55"/>
      <c r="MRF29" s="53"/>
      <c r="MRJ29" s="28"/>
      <c r="MRL29" s="55"/>
      <c r="MRM29" s="53"/>
      <c r="MRQ29" s="28"/>
      <c r="MRS29" s="55"/>
      <c r="MRT29" s="53"/>
      <c r="MRX29" s="28"/>
      <c r="MRZ29" s="55"/>
      <c r="MSA29" s="53"/>
      <c r="MSE29" s="28"/>
      <c r="MSG29" s="55"/>
      <c r="MSH29" s="53"/>
      <c r="MSL29" s="28"/>
      <c r="MSN29" s="55"/>
      <c r="MSO29" s="53"/>
      <c r="MSS29" s="28"/>
      <c r="MSU29" s="55"/>
      <c r="MSV29" s="53"/>
      <c r="MSZ29" s="28"/>
      <c r="MTB29" s="55"/>
      <c r="MTC29" s="53"/>
      <c r="MTG29" s="28"/>
      <c r="MTI29" s="55"/>
      <c r="MTJ29" s="53"/>
      <c r="MTN29" s="28"/>
      <c r="MTP29" s="55"/>
      <c r="MTQ29" s="53"/>
      <c r="MTU29" s="28"/>
      <c r="MTW29" s="55"/>
      <c r="MTX29" s="53"/>
      <c r="MUB29" s="28"/>
      <c r="MUD29" s="55"/>
      <c r="MUE29" s="53"/>
      <c r="MUI29" s="28"/>
      <c r="MUK29" s="55"/>
      <c r="MUL29" s="53"/>
      <c r="MUP29" s="28"/>
      <c r="MUR29" s="55"/>
      <c r="MUS29" s="53"/>
      <c r="MUW29" s="28"/>
      <c r="MUY29" s="55"/>
      <c r="MUZ29" s="53"/>
      <c r="MVD29" s="28"/>
      <c r="MVF29" s="55"/>
      <c r="MVG29" s="53"/>
      <c r="MVK29" s="28"/>
      <c r="MVM29" s="55"/>
      <c r="MVN29" s="53"/>
      <c r="MVR29" s="28"/>
      <c r="MVT29" s="55"/>
      <c r="MVU29" s="53"/>
      <c r="MVY29" s="28"/>
      <c r="MWA29" s="55"/>
      <c r="MWB29" s="53"/>
      <c r="MWF29" s="28"/>
      <c r="MWH29" s="55"/>
      <c r="MWI29" s="53"/>
      <c r="MWM29" s="28"/>
      <c r="MWO29" s="55"/>
      <c r="MWP29" s="53"/>
      <c r="MWT29" s="28"/>
      <c r="MWV29" s="55"/>
      <c r="MWW29" s="53"/>
      <c r="MXA29" s="28"/>
      <c r="MXC29" s="55"/>
      <c r="MXD29" s="53"/>
      <c r="MXH29" s="28"/>
      <c r="MXJ29" s="55"/>
      <c r="MXK29" s="53"/>
      <c r="MXO29" s="28"/>
      <c r="MXQ29" s="55"/>
      <c r="MXR29" s="53"/>
      <c r="MXV29" s="28"/>
      <c r="MXX29" s="55"/>
      <c r="MXY29" s="53"/>
      <c r="MYC29" s="28"/>
      <c r="MYE29" s="55"/>
      <c r="MYF29" s="53"/>
      <c r="MYJ29" s="28"/>
      <c r="MYL29" s="55"/>
      <c r="MYM29" s="53"/>
      <c r="MYQ29" s="28"/>
      <c r="MYS29" s="55"/>
      <c r="MYT29" s="53"/>
      <c r="MYX29" s="28"/>
      <c r="MYZ29" s="55"/>
      <c r="MZA29" s="53"/>
      <c r="MZE29" s="28"/>
      <c r="MZG29" s="55"/>
      <c r="MZH29" s="53"/>
      <c r="MZL29" s="28"/>
      <c r="MZN29" s="55"/>
      <c r="MZO29" s="53"/>
      <c r="MZS29" s="28"/>
      <c r="MZU29" s="55"/>
      <c r="MZV29" s="53"/>
      <c r="MZZ29" s="28"/>
      <c r="NAB29" s="55"/>
      <c r="NAC29" s="53"/>
      <c r="NAG29" s="28"/>
      <c r="NAI29" s="55"/>
      <c r="NAJ29" s="53"/>
      <c r="NAN29" s="28"/>
      <c r="NAP29" s="55"/>
      <c r="NAQ29" s="53"/>
      <c r="NAU29" s="28"/>
      <c r="NAW29" s="55"/>
      <c r="NAX29" s="53"/>
      <c r="NBB29" s="28"/>
      <c r="NBD29" s="55"/>
      <c r="NBE29" s="53"/>
      <c r="NBI29" s="28"/>
      <c r="NBK29" s="55"/>
      <c r="NBL29" s="53"/>
      <c r="NBP29" s="28"/>
      <c r="NBR29" s="55"/>
      <c r="NBS29" s="53"/>
      <c r="NBW29" s="28"/>
      <c r="NBY29" s="55"/>
      <c r="NBZ29" s="53"/>
      <c r="NCD29" s="28"/>
      <c r="NCF29" s="55"/>
      <c r="NCG29" s="53"/>
      <c r="NCK29" s="28"/>
      <c r="NCM29" s="55"/>
      <c r="NCN29" s="53"/>
      <c r="NCR29" s="28"/>
      <c r="NCT29" s="55"/>
      <c r="NCU29" s="53"/>
      <c r="NCY29" s="28"/>
      <c r="NDA29" s="55"/>
      <c r="NDB29" s="53"/>
      <c r="NDF29" s="28"/>
      <c r="NDH29" s="55"/>
      <c r="NDI29" s="53"/>
      <c r="NDM29" s="28"/>
      <c r="NDO29" s="55"/>
      <c r="NDP29" s="53"/>
      <c r="NDT29" s="28"/>
      <c r="NDV29" s="55"/>
      <c r="NDW29" s="53"/>
      <c r="NEA29" s="28"/>
      <c r="NEC29" s="55"/>
      <c r="NED29" s="53"/>
      <c r="NEH29" s="28"/>
      <c r="NEJ29" s="55"/>
      <c r="NEK29" s="53"/>
      <c r="NEO29" s="28"/>
      <c r="NEQ29" s="55"/>
      <c r="NER29" s="53"/>
      <c r="NEV29" s="28"/>
      <c r="NEX29" s="55"/>
      <c r="NEY29" s="53"/>
      <c r="NFC29" s="28"/>
      <c r="NFE29" s="55"/>
      <c r="NFF29" s="53"/>
      <c r="NFJ29" s="28"/>
      <c r="NFL29" s="55"/>
      <c r="NFM29" s="53"/>
      <c r="NFQ29" s="28"/>
      <c r="NFS29" s="55"/>
      <c r="NFT29" s="53"/>
      <c r="NFX29" s="28"/>
      <c r="NFZ29" s="55"/>
      <c r="NGA29" s="53"/>
      <c r="NGE29" s="28"/>
      <c r="NGG29" s="55"/>
      <c r="NGH29" s="53"/>
      <c r="NGL29" s="28"/>
      <c r="NGN29" s="55"/>
      <c r="NGO29" s="53"/>
      <c r="NGS29" s="28"/>
      <c r="NGU29" s="55"/>
      <c r="NGV29" s="53"/>
      <c r="NGZ29" s="28"/>
      <c r="NHB29" s="55"/>
      <c r="NHC29" s="53"/>
      <c r="NHG29" s="28"/>
      <c r="NHI29" s="55"/>
      <c r="NHJ29" s="53"/>
      <c r="NHN29" s="28"/>
      <c r="NHP29" s="55"/>
      <c r="NHQ29" s="53"/>
      <c r="NHU29" s="28"/>
      <c r="NHW29" s="55"/>
      <c r="NHX29" s="53"/>
      <c r="NIB29" s="28"/>
      <c r="NID29" s="55"/>
      <c r="NIE29" s="53"/>
      <c r="NII29" s="28"/>
      <c r="NIK29" s="55"/>
      <c r="NIL29" s="53"/>
      <c r="NIP29" s="28"/>
      <c r="NIR29" s="55"/>
      <c r="NIS29" s="53"/>
      <c r="NIW29" s="28"/>
      <c r="NIY29" s="55"/>
      <c r="NIZ29" s="53"/>
      <c r="NJD29" s="28"/>
      <c r="NJF29" s="55"/>
      <c r="NJG29" s="53"/>
      <c r="NJK29" s="28"/>
      <c r="NJM29" s="55"/>
      <c r="NJN29" s="53"/>
      <c r="NJR29" s="28"/>
      <c r="NJT29" s="55"/>
      <c r="NJU29" s="53"/>
      <c r="NJY29" s="28"/>
      <c r="NKA29" s="55"/>
      <c r="NKB29" s="53"/>
      <c r="NKF29" s="28"/>
      <c r="NKH29" s="55"/>
      <c r="NKI29" s="53"/>
      <c r="NKM29" s="28"/>
      <c r="NKO29" s="55"/>
      <c r="NKP29" s="53"/>
      <c r="NKT29" s="28"/>
      <c r="NKV29" s="55"/>
      <c r="NKW29" s="53"/>
      <c r="NLA29" s="28"/>
      <c r="NLC29" s="55"/>
      <c r="NLD29" s="53"/>
      <c r="NLH29" s="28"/>
      <c r="NLJ29" s="55"/>
      <c r="NLK29" s="53"/>
      <c r="NLO29" s="28"/>
      <c r="NLQ29" s="55"/>
      <c r="NLR29" s="53"/>
      <c r="NLV29" s="28"/>
      <c r="NLX29" s="55"/>
      <c r="NLY29" s="53"/>
      <c r="NMC29" s="28"/>
      <c r="NME29" s="55"/>
      <c r="NMF29" s="53"/>
      <c r="NMJ29" s="28"/>
      <c r="NML29" s="55"/>
      <c r="NMM29" s="53"/>
      <c r="NMQ29" s="28"/>
      <c r="NMS29" s="55"/>
      <c r="NMT29" s="53"/>
      <c r="NMX29" s="28"/>
      <c r="NMZ29" s="55"/>
      <c r="NNA29" s="53"/>
      <c r="NNE29" s="28"/>
      <c r="NNG29" s="55"/>
      <c r="NNH29" s="53"/>
      <c r="NNL29" s="28"/>
      <c r="NNN29" s="55"/>
      <c r="NNO29" s="53"/>
      <c r="NNS29" s="28"/>
      <c r="NNU29" s="55"/>
      <c r="NNV29" s="53"/>
      <c r="NNZ29" s="28"/>
      <c r="NOB29" s="55"/>
      <c r="NOC29" s="53"/>
      <c r="NOG29" s="28"/>
      <c r="NOI29" s="55"/>
      <c r="NOJ29" s="53"/>
      <c r="NON29" s="28"/>
      <c r="NOP29" s="55"/>
      <c r="NOQ29" s="53"/>
      <c r="NOU29" s="28"/>
      <c r="NOW29" s="55"/>
      <c r="NOX29" s="53"/>
      <c r="NPB29" s="28"/>
      <c r="NPD29" s="55"/>
      <c r="NPE29" s="53"/>
      <c r="NPI29" s="28"/>
      <c r="NPK29" s="55"/>
      <c r="NPL29" s="53"/>
      <c r="NPP29" s="28"/>
      <c r="NPR29" s="55"/>
      <c r="NPS29" s="53"/>
      <c r="NPW29" s="28"/>
      <c r="NPY29" s="55"/>
      <c r="NPZ29" s="53"/>
      <c r="NQD29" s="28"/>
      <c r="NQF29" s="55"/>
      <c r="NQG29" s="53"/>
      <c r="NQK29" s="28"/>
      <c r="NQM29" s="55"/>
      <c r="NQN29" s="53"/>
      <c r="NQR29" s="28"/>
      <c r="NQT29" s="55"/>
      <c r="NQU29" s="53"/>
      <c r="NQY29" s="28"/>
      <c r="NRA29" s="55"/>
      <c r="NRB29" s="53"/>
      <c r="NRF29" s="28"/>
      <c r="NRH29" s="55"/>
      <c r="NRI29" s="53"/>
      <c r="NRM29" s="28"/>
      <c r="NRO29" s="55"/>
      <c r="NRP29" s="53"/>
      <c r="NRT29" s="28"/>
      <c r="NRV29" s="55"/>
      <c r="NRW29" s="53"/>
      <c r="NSA29" s="28"/>
      <c r="NSC29" s="55"/>
      <c r="NSD29" s="53"/>
      <c r="NSH29" s="28"/>
      <c r="NSJ29" s="55"/>
      <c r="NSK29" s="53"/>
      <c r="NSO29" s="28"/>
      <c r="NSQ29" s="55"/>
      <c r="NSR29" s="53"/>
      <c r="NSV29" s="28"/>
      <c r="NSX29" s="55"/>
      <c r="NSY29" s="53"/>
      <c r="NTC29" s="28"/>
      <c r="NTE29" s="55"/>
      <c r="NTF29" s="53"/>
      <c r="NTJ29" s="28"/>
      <c r="NTL29" s="55"/>
      <c r="NTM29" s="53"/>
      <c r="NTQ29" s="28"/>
      <c r="NTS29" s="55"/>
      <c r="NTT29" s="53"/>
      <c r="NTX29" s="28"/>
      <c r="NTZ29" s="55"/>
      <c r="NUA29" s="53"/>
      <c r="NUE29" s="28"/>
      <c r="NUG29" s="55"/>
      <c r="NUH29" s="53"/>
      <c r="NUL29" s="28"/>
      <c r="NUN29" s="55"/>
      <c r="NUO29" s="53"/>
      <c r="NUS29" s="28"/>
      <c r="NUU29" s="55"/>
      <c r="NUV29" s="53"/>
      <c r="NUZ29" s="28"/>
      <c r="NVB29" s="55"/>
      <c r="NVC29" s="53"/>
      <c r="NVG29" s="28"/>
      <c r="NVI29" s="55"/>
      <c r="NVJ29" s="53"/>
      <c r="NVN29" s="28"/>
      <c r="NVP29" s="55"/>
      <c r="NVQ29" s="53"/>
      <c r="NVU29" s="28"/>
      <c r="NVW29" s="55"/>
      <c r="NVX29" s="53"/>
      <c r="NWB29" s="28"/>
      <c r="NWD29" s="55"/>
      <c r="NWE29" s="53"/>
      <c r="NWI29" s="28"/>
      <c r="NWK29" s="55"/>
      <c r="NWL29" s="53"/>
      <c r="NWP29" s="28"/>
      <c r="NWR29" s="55"/>
      <c r="NWS29" s="53"/>
      <c r="NWW29" s="28"/>
      <c r="NWY29" s="55"/>
      <c r="NWZ29" s="53"/>
      <c r="NXD29" s="28"/>
      <c r="NXF29" s="55"/>
      <c r="NXG29" s="53"/>
      <c r="NXK29" s="28"/>
      <c r="NXM29" s="55"/>
      <c r="NXN29" s="53"/>
      <c r="NXR29" s="28"/>
      <c r="NXT29" s="55"/>
      <c r="NXU29" s="53"/>
      <c r="NXY29" s="28"/>
      <c r="NYA29" s="55"/>
      <c r="NYB29" s="53"/>
      <c r="NYF29" s="28"/>
      <c r="NYH29" s="55"/>
      <c r="NYI29" s="53"/>
      <c r="NYM29" s="28"/>
      <c r="NYO29" s="55"/>
      <c r="NYP29" s="53"/>
      <c r="NYT29" s="28"/>
      <c r="NYV29" s="55"/>
      <c r="NYW29" s="53"/>
      <c r="NZA29" s="28"/>
      <c r="NZC29" s="55"/>
      <c r="NZD29" s="53"/>
      <c r="NZH29" s="28"/>
      <c r="NZJ29" s="55"/>
      <c r="NZK29" s="53"/>
      <c r="NZO29" s="28"/>
      <c r="NZQ29" s="55"/>
      <c r="NZR29" s="53"/>
      <c r="NZV29" s="28"/>
      <c r="NZX29" s="55"/>
      <c r="NZY29" s="53"/>
      <c r="OAC29" s="28"/>
      <c r="OAE29" s="55"/>
      <c r="OAF29" s="53"/>
      <c r="OAJ29" s="28"/>
      <c r="OAL29" s="55"/>
      <c r="OAM29" s="53"/>
      <c r="OAQ29" s="28"/>
      <c r="OAS29" s="55"/>
      <c r="OAT29" s="53"/>
      <c r="OAX29" s="28"/>
      <c r="OAZ29" s="55"/>
      <c r="OBA29" s="53"/>
      <c r="OBE29" s="28"/>
      <c r="OBG29" s="55"/>
      <c r="OBH29" s="53"/>
      <c r="OBL29" s="28"/>
      <c r="OBN29" s="55"/>
      <c r="OBO29" s="53"/>
      <c r="OBS29" s="28"/>
      <c r="OBU29" s="55"/>
      <c r="OBV29" s="53"/>
      <c r="OBZ29" s="28"/>
      <c r="OCB29" s="55"/>
      <c r="OCC29" s="53"/>
      <c r="OCG29" s="28"/>
      <c r="OCI29" s="55"/>
      <c r="OCJ29" s="53"/>
      <c r="OCN29" s="28"/>
      <c r="OCP29" s="55"/>
      <c r="OCQ29" s="53"/>
      <c r="OCU29" s="28"/>
      <c r="OCW29" s="55"/>
      <c r="OCX29" s="53"/>
      <c r="ODB29" s="28"/>
      <c r="ODD29" s="55"/>
      <c r="ODE29" s="53"/>
      <c r="ODI29" s="28"/>
      <c r="ODK29" s="55"/>
      <c r="ODL29" s="53"/>
      <c r="ODP29" s="28"/>
      <c r="ODR29" s="55"/>
      <c r="ODS29" s="53"/>
      <c r="ODW29" s="28"/>
      <c r="ODY29" s="55"/>
      <c r="ODZ29" s="53"/>
      <c r="OED29" s="28"/>
      <c r="OEF29" s="55"/>
      <c r="OEG29" s="53"/>
      <c r="OEK29" s="28"/>
      <c r="OEM29" s="55"/>
      <c r="OEN29" s="53"/>
      <c r="OER29" s="28"/>
      <c r="OET29" s="55"/>
      <c r="OEU29" s="53"/>
      <c r="OEY29" s="28"/>
      <c r="OFA29" s="55"/>
      <c r="OFB29" s="53"/>
      <c r="OFF29" s="28"/>
      <c r="OFH29" s="55"/>
      <c r="OFI29" s="53"/>
      <c r="OFM29" s="28"/>
      <c r="OFO29" s="55"/>
      <c r="OFP29" s="53"/>
      <c r="OFT29" s="28"/>
      <c r="OFV29" s="55"/>
      <c r="OFW29" s="53"/>
      <c r="OGA29" s="28"/>
      <c r="OGC29" s="55"/>
      <c r="OGD29" s="53"/>
      <c r="OGH29" s="28"/>
      <c r="OGJ29" s="55"/>
      <c r="OGK29" s="53"/>
      <c r="OGO29" s="28"/>
      <c r="OGQ29" s="55"/>
      <c r="OGR29" s="53"/>
      <c r="OGV29" s="28"/>
      <c r="OGX29" s="55"/>
      <c r="OGY29" s="53"/>
      <c r="OHC29" s="28"/>
      <c r="OHE29" s="55"/>
      <c r="OHF29" s="53"/>
      <c r="OHJ29" s="28"/>
      <c r="OHL29" s="55"/>
      <c r="OHM29" s="53"/>
      <c r="OHQ29" s="28"/>
      <c r="OHS29" s="55"/>
      <c r="OHT29" s="53"/>
      <c r="OHX29" s="28"/>
      <c r="OHZ29" s="55"/>
      <c r="OIA29" s="53"/>
      <c r="OIE29" s="28"/>
      <c r="OIG29" s="55"/>
      <c r="OIH29" s="53"/>
      <c r="OIL29" s="28"/>
      <c r="OIN29" s="55"/>
      <c r="OIO29" s="53"/>
      <c r="OIS29" s="28"/>
      <c r="OIU29" s="55"/>
      <c r="OIV29" s="53"/>
      <c r="OIZ29" s="28"/>
      <c r="OJB29" s="55"/>
      <c r="OJC29" s="53"/>
      <c r="OJG29" s="28"/>
      <c r="OJI29" s="55"/>
      <c r="OJJ29" s="53"/>
      <c r="OJN29" s="28"/>
      <c r="OJP29" s="55"/>
      <c r="OJQ29" s="53"/>
      <c r="OJU29" s="28"/>
      <c r="OJW29" s="55"/>
      <c r="OJX29" s="53"/>
      <c r="OKB29" s="28"/>
      <c r="OKD29" s="55"/>
      <c r="OKE29" s="53"/>
      <c r="OKI29" s="28"/>
      <c r="OKK29" s="55"/>
      <c r="OKL29" s="53"/>
      <c r="OKP29" s="28"/>
      <c r="OKR29" s="55"/>
      <c r="OKS29" s="53"/>
      <c r="OKW29" s="28"/>
      <c r="OKY29" s="55"/>
      <c r="OKZ29" s="53"/>
      <c r="OLD29" s="28"/>
      <c r="OLF29" s="55"/>
      <c r="OLG29" s="53"/>
      <c r="OLK29" s="28"/>
      <c r="OLM29" s="55"/>
      <c r="OLN29" s="53"/>
      <c r="OLR29" s="28"/>
      <c r="OLT29" s="55"/>
      <c r="OLU29" s="53"/>
      <c r="OLY29" s="28"/>
      <c r="OMA29" s="55"/>
      <c r="OMB29" s="53"/>
      <c r="OMF29" s="28"/>
      <c r="OMH29" s="55"/>
      <c r="OMI29" s="53"/>
      <c r="OMM29" s="28"/>
      <c r="OMO29" s="55"/>
      <c r="OMP29" s="53"/>
      <c r="OMT29" s="28"/>
      <c r="OMV29" s="55"/>
      <c r="OMW29" s="53"/>
      <c r="ONA29" s="28"/>
      <c r="ONC29" s="55"/>
      <c r="OND29" s="53"/>
      <c r="ONH29" s="28"/>
      <c r="ONJ29" s="55"/>
      <c r="ONK29" s="53"/>
      <c r="ONO29" s="28"/>
      <c r="ONQ29" s="55"/>
      <c r="ONR29" s="53"/>
      <c r="ONV29" s="28"/>
      <c r="ONX29" s="55"/>
      <c r="ONY29" s="53"/>
      <c r="OOC29" s="28"/>
      <c r="OOE29" s="55"/>
      <c r="OOF29" s="53"/>
      <c r="OOJ29" s="28"/>
      <c r="OOL29" s="55"/>
      <c r="OOM29" s="53"/>
      <c r="OOQ29" s="28"/>
      <c r="OOS29" s="55"/>
      <c r="OOT29" s="53"/>
      <c r="OOX29" s="28"/>
      <c r="OOZ29" s="55"/>
      <c r="OPA29" s="53"/>
      <c r="OPE29" s="28"/>
      <c r="OPG29" s="55"/>
      <c r="OPH29" s="53"/>
      <c r="OPL29" s="28"/>
      <c r="OPN29" s="55"/>
      <c r="OPO29" s="53"/>
      <c r="OPS29" s="28"/>
      <c r="OPU29" s="55"/>
      <c r="OPV29" s="53"/>
      <c r="OPZ29" s="28"/>
      <c r="OQB29" s="55"/>
      <c r="OQC29" s="53"/>
      <c r="OQG29" s="28"/>
      <c r="OQI29" s="55"/>
      <c r="OQJ29" s="53"/>
      <c r="OQN29" s="28"/>
      <c r="OQP29" s="55"/>
      <c r="OQQ29" s="53"/>
      <c r="OQU29" s="28"/>
      <c r="OQW29" s="55"/>
      <c r="OQX29" s="53"/>
      <c r="ORB29" s="28"/>
      <c r="ORD29" s="55"/>
      <c r="ORE29" s="53"/>
      <c r="ORI29" s="28"/>
      <c r="ORK29" s="55"/>
      <c r="ORL29" s="53"/>
      <c r="ORP29" s="28"/>
      <c r="ORR29" s="55"/>
      <c r="ORS29" s="53"/>
      <c r="ORW29" s="28"/>
      <c r="ORY29" s="55"/>
      <c r="ORZ29" s="53"/>
      <c r="OSD29" s="28"/>
      <c r="OSF29" s="55"/>
      <c r="OSG29" s="53"/>
      <c r="OSK29" s="28"/>
      <c r="OSM29" s="55"/>
      <c r="OSN29" s="53"/>
      <c r="OSR29" s="28"/>
      <c r="OST29" s="55"/>
      <c r="OSU29" s="53"/>
      <c r="OSY29" s="28"/>
      <c r="OTA29" s="55"/>
      <c r="OTB29" s="53"/>
      <c r="OTF29" s="28"/>
      <c r="OTH29" s="55"/>
      <c r="OTI29" s="53"/>
      <c r="OTM29" s="28"/>
      <c r="OTO29" s="55"/>
      <c r="OTP29" s="53"/>
      <c r="OTT29" s="28"/>
      <c r="OTV29" s="55"/>
      <c r="OTW29" s="53"/>
      <c r="OUA29" s="28"/>
      <c r="OUC29" s="55"/>
      <c r="OUD29" s="53"/>
      <c r="OUH29" s="28"/>
      <c r="OUJ29" s="55"/>
      <c r="OUK29" s="53"/>
      <c r="OUO29" s="28"/>
      <c r="OUQ29" s="55"/>
      <c r="OUR29" s="53"/>
      <c r="OUV29" s="28"/>
      <c r="OUX29" s="55"/>
      <c r="OUY29" s="53"/>
      <c r="OVC29" s="28"/>
      <c r="OVE29" s="55"/>
      <c r="OVF29" s="53"/>
      <c r="OVJ29" s="28"/>
      <c r="OVL29" s="55"/>
      <c r="OVM29" s="53"/>
      <c r="OVQ29" s="28"/>
      <c r="OVS29" s="55"/>
      <c r="OVT29" s="53"/>
      <c r="OVX29" s="28"/>
      <c r="OVZ29" s="55"/>
      <c r="OWA29" s="53"/>
      <c r="OWE29" s="28"/>
      <c r="OWG29" s="55"/>
      <c r="OWH29" s="53"/>
      <c r="OWL29" s="28"/>
      <c r="OWN29" s="55"/>
      <c r="OWO29" s="53"/>
      <c r="OWS29" s="28"/>
      <c r="OWU29" s="55"/>
      <c r="OWV29" s="53"/>
      <c r="OWZ29" s="28"/>
      <c r="OXB29" s="55"/>
      <c r="OXC29" s="53"/>
      <c r="OXG29" s="28"/>
      <c r="OXI29" s="55"/>
      <c r="OXJ29" s="53"/>
      <c r="OXN29" s="28"/>
      <c r="OXP29" s="55"/>
      <c r="OXQ29" s="53"/>
      <c r="OXU29" s="28"/>
      <c r="OXW29" s="55"/>
      <c r="OXX29" s="53"/>
      <c r="OYB29" s="28"/>
      <c r="OYD29" s="55"/>
      <c r="OYE29" s="53"/>
      <c r="OYI29" s="28"/>
      <c r="OYK29" s="55"/>
      <c r="OYL29" s="53"/>
      <c r="OYP29" s="28"/>
      <c r="OYR29" s="55"/>
      <c r="OYS29" s="53"/>
      <c r="OYW29" s="28"/>
      <c r="OYY29" s="55"/>
      <c r="OYZ29" s="53"/>
      <c r="OZD29" s="28"/>
      <c r="OZF29" s="55"/>
      <c r="OZG29" s="53"/>
      <c r="OZK29" s="28"/>
      <c r="OZM29" s="55"/>
      <c r="OZN29" s="53"/>
      <c r="OZR29" s="28"/>
      <c r="OZT29" s="55"/>
      <c r="OZU29" s="53"/>
      <c r="OZY29" s="28"/>
      <c r="PAA29" s="55"/>
      <c r="PAB29" s="53"/>
      <c r="PAF29" s="28"/>
      <c r="PAH29" s="55"/>
      <c r="PAI29" s="53"/>
      <c r="PAM29" s="28"/>
      <c r="PAO29" s="55"/>
      <c r="PAP29" s="53"/>
      <c r="PAT29" s="28"/>
      <c r="PAV29" s="55"/>
      <c r="PAW29" s="53"/>
      <c r="PBA29" s="28"/>
      <c r="PBC29" s="55"/>
      <c r="PBD29" s="53"/>
      <c r="PBH29" s="28"/>
      <c r="PBJ29" s="55"/>
      <c r="PBK29" s="53"/>
      <c r="PBO29" s="28"/>
      <c r="PBQ29" s="55"/>
      <c r="PBR29" s="53"/>
      <c r="PBV29" s="28"/>
      <c r="PBX29" s="55"/>
      <c r="PBY29" s="53"/>
      <c r="PCC29" s="28"/>
      <c r="PCE29" s="55"/>
      <c r="PCF29" s="53"/>
      <c r="PCJ29" s="28"/>
      <c r="PCL29" s="55"/>
      <c r="PCM29" s="53"/>
      <c r="PCQ29" s="28"/>
      <c r="PCS29" s="55"/>
      <c r="PCT29" s="53"/>
      <c r="PCX29" s="28"/>
      <c r="PCZ29" s="55"/>
      <c r="PDA29" s="53"/>
      <c r="PDE29" s="28"/>
      <c r="PDG29" s="55"/>
      <c r="PDH29" s="53"/>
      <c r="PDL29" s="28"/>
      <c r="PDN29" s="55"/>
      <c r="PDO29" s="53"/>
      <c r="PDS29" s="28"/>
      <c r="PDU29" s="55"/>
      <c r="PDV29" s="53"/>
      <c r="PDZ29" s="28"/>
      <c r="PEB29" s="55"/>
      <c r="PEC29" s="53"/>
      <c r="PEG29" s="28"/>
      <c r="PEI29" s="55"/>
      <c r="PEJ29" s="53"/>
      <c r="PEN29" s="28"/>
      <c r="PEP29" s="55"/>
      <c r="PEQ29" s="53"/>
      <c r="PEU29" s="28"/>
      <c r="PEW29" s="55"/>
      <c r="PEX29" s="53"/>
      <c r="PFB29" s="28"/>
      <c r="PFD29" s="55"/>
      <c r="PFE29" s="53"/>
      <c r="PFI29" s="28"/>
      <c r="PFK29" s="55"/>
      <c r="PFL29" s="53"/>
      <c r="PFP29" s="28"/>
      <c r="PFR29" s="55"/>
      <c r="PFS29" s="53"/>
      <c r="PFW29" s="28"/>
      <c r="PFY29" s="55"/>
      <c r="PFZ29" s="53"/>
      <c r="PGD29" s="28"/>
      <c r="PGF29" s="55"/>
      <c r="PGG29" s="53"/>
      <c r="PGK29" s="28"/>
      <c r="PGM29" s="55"/>
      <c r="PGN29" s="53"/>
      <c r="PGR29" s="28"/>
      <c r="PGT29" s="55"/>
      <c r="PGU29" s="53"/>
      <c r="PGY29" s="28"/>
      <c r="PHA29" s="55"/>
      <c r="PHB29" s="53"/>
      <c r="PHF29" s="28"/>
      <c r="PHH29" s="55"/>
      <c r="PHI29" s="53"/>
      <c r="PHM29" s="28"/>
      <c r="PHO29" s="55"/>
      <c r="PHP29" s="53"/>
      <c r="PHT29" s="28"/>
      <c r="PHV29" s="55"/>
      <c r="PHW29" s="53"/>
      <c r="PIA29" s="28"/>
      <c r="PIC29" s="55"/>
      <c r="PID29" s="53"/>
      <c r="PIH29" s="28"/>
      <c r="PIJ29" s="55"/>
      <c r="PIK29" s="53"/>
      <c r="PIO29" s="28"/>
      <c r="PIQ29" s="55"/>
      <c r="PIR29" s="53"/>
      <c r="PIV29" s="28"/>
      <c r="PIX29" s="55"/>
      <c r="PIY29" s="53"/>
      <c r="PJC29" s="28"/>
      <c r="PJE29" s="55"/>
      <c r="PJF29" s="53"/>
      <c r="PJJ29" s="28"/>
      <c r="PJL29" s="55"/>
      <c r="PJM29" s="53"/>
      <c r="PJQ29" s="28"/>
      <c r="PJS29" s="55"/>
      <c r="PJT29" s="53"/>
      <c r="PJX29" s="28"/>
      <c r="PJZ29" s="55"/>
      <c r="PKA29" s="53"/>
      <c r="PKE29" s="28"/>
      <c r="PKG29" s="55"/>
      <c r="PKH29" s="53"/>
      <c r="PKL29" s="28"/>
      <c r="PKN29" s="55"/>
      <c r="PKO29" s="53"/>
      <c r="PKS29" s="28"/>
      <c r="PKU29" s="55"/>
      <c r="PKV29" s="53"/>
      <c r="PKZ29" s="28"/>
      <c r="PLB29" s="55"/>
      <c r="PLC29" s="53"/>
      <c r="PLG29" s="28"/>
      <c r="PLI29" s="55"/>
      <c r="PLJ29" s="53"/>
      <c r="PLN29" s="28"/>
      <c r="PLP29" s="55"/>
      <c r="PLQ29" s="53"/>
      <c r="PLU29" s="28"/>
      <c r="PLW29" s="55"/>
      <c r="PLX29" s="53"/>
      <c r="PMB29" s="28"/>
      <c r="PMD29" s="55"/>
      <c r="PME29" s="53"/>
      <c r="PMI29" s="28"/>
      <c r="PMK29" s="55"/>
      <c r="PML29" s="53"/>
      <c r="PMP29" s="28"/>
      <c r="PMR29" s="55"/>
      <c r="PMS29" s="53"/>
      <c r="PMW29" s="28"/>
      <c r="PMY29" s="55"/>
      <c r="PMZ29" s="53"/>
      <c r="PND29" s="28"/>
      <c r="PNF29" s="55"/>
      <c r="PNG29" s="53"/>
      <c r="PNK29" s="28"/>
      <c r="PNM29" s="55"/>
      <c r="PNN29" s="53"/>
      <c r="PNR29" s="28"/>
      <c r="PNT29" s="55"/>
      <c r="PNU29" s="53"/>
      <c r="PNY29" s="28"/>
      <c r="POA29" s="55"/>
      <c r="POB29" s="53"/>
      <c r="POF29" s="28"/>
      <c r="POH29" s="55"/>
      <c r="POI29" s="53"/>
      <c r="POM29" s="28"/>
      <c r="POO29" s="55"/>
      <c r="POP29" s="53"/>
      <c r="POT29" s="28"/>
      <c r="POV29" s="55"/>
      <c r="POW29" s="53"/>
      <c r="PPA29" s="28"/>
      <c r="PPC29" s="55"/>
      <c r="PPD29" s="53"/>
      <c r="PPH29" s="28"/>
      <c r="PPJ29" s="55"/>
      <c r="PPK29" s="53"/>
      <c r="PPO29" s="28"/>
      <c r="PPQ29" s="55"/>
      <c r="PPR29" s="53"/>
      <c r="PPV29" s="28"/>
      <c r="PPX29" s="55"/>
      <c r="PPY29" s="53"/>
      <c r="PQC29" s="28"/>
      <c r="PQE29" s="55"/>
      <c r="PQF29" s="53"/>
      <c r="PQJ29" s="28"/>
      <c r="PQL29" s="55"/>
      <c r="PQM29" s="53"/>
      <c r="PQQ29" s="28"/>
      <c r="PQS29" s="55"/>
      <c r="PQT29" s="53"/>
      <c r="PQX29" s="28"/>
      <c r="PQZ29" s="55"/>
      <c r="PRA29" s="53"/>
      <c r="PRE29" s="28"/>
      <c r="PRG29" s="55"/>
      <c r="PRH29" s="53"/>
      <c r="PRL29" s="28"/>
      <c r="PRN29" s="55"/>
      <c r="PRO29" s="53"/>
      <c r="PRS29" s="28"/>
      <c r="PRU29" s="55"/>
      <c r="PRV29" s="53"/>
      <c r="PRZ29" s="28"/>
      <c r="PSB29" s="55"/>
      <c r="PSC29" s="53"/>
      <c r="PSG29" s="28"/>
      <c r="PSI29" s="55"/>
      <c r="PSJ29" s="53"/>
      <c r="PSN29" s="28"/>
      <c r="PSP29" s="55"/>
      <c r="PSQ29" s="53"/>
      <c r="PSU29" s="28"/>
      <c r="PSW29" s="55"/>
      <c r="PSX29" s="53"/>
      <c r="PTB29" s="28"/>
      <c r="PTD29" s="55"/>
      <c r="PTE29" s="53"/>
      <c r="PTI29" s="28"/>
      <c r="PTK29" s="55"/>
      <c r="PTL29" s="53"/>
      <c r="PTP29" s="28"/>
      <c r="PTR29" s="55"/>
      <c r="PTS29" s="53"/>
      <c r="PTW29" s="28"/>
      <c r="PTY29" s="55"/>
      <c r="PTZ29" s="53"/>
      <c r="PUD29" s="28"/>
      <c r="PUF29" s="55"/>
      <c r="PUG29" s="53"/>
      <c r="PUK29" s="28"/>
      <c r="PUM29" s="55"/>
      <c r="PUN29" s="53"/>
      <c r="PUR29" s="28"/>
      <c r="PUT29" s="55"/>
      <c r="PUU29" s="53"/>
      <c r="PUY29" s="28"/>
      <c r="PVA29" s="55"/>
      <c r="PVB29" s="53"/>
      <c r="PVF29" s="28"/>
      <c r="PVH29" s="55"/>
      <c r="PVI29" s="53"/>
      <c r="PVM29" s="28"/>
      <c r="PVO29" s="55"/>
      <c r="PVP29" s="53"/>
      <c r="PVT29" s="28"/>
      <c r="PVV29" s="55"/>
      <c r="PVW29" s="53"/>
      <c r="PWA29" s="28"/>
      <c r="PWC29" s="55"/>
      <c r="PWD29" s="53"/>
      <c r="PWH29" s="28"/>
      <c r="PWJ29" s="55"/>
      <c r="PWK29" s="53"/>
      <c r="PWO29" s="28"/>
      <c r="PWQ29" s="55"/>
      <c r="PWR29" s="53"/>
      <c r="PWV29" s="28"/>
      <c r="PWX29" s="55"/>
      <c r="PWY29" s="53"/>
      <c r="PXC29" s="28"/>
      <c r="PXE29" s="55"/>
      <c r="PXF29" s="53"/>
      <c r="PXJ29" s="28"/>
      <c r="PXL29" s="55"/>
      <c r="PXM29" s="53"/>
      <c r="PXQ29" s="28"/>
      <c r="PXS29" s="55"/>
      <c r="PXT29" s="53"/>
      <c r="PXX29" s="28"/>
      <c r="PXZ29" s="55"/>
      <c r="PYA29" s="53"/>
      <c r="PYE29" s="28"/>
      <c r="PYG29" s="55"/>
      <c r="PYH29" s="53"/>
      <c r="PYL29" s="28"/>
      <c r="PYN29" s="55"/>
      <c r="PYO29" s="53"/>
      <c r="PYS29" s="28"/>
      <c r="PYU29" s="55"/>
      <c r="PYV29" s="53"/>
      <c r="PYZ29" s="28"/>
      <c r="PZB29" s="55"/>
      <c r="PZC29" s="53"/>
      <c r="PZG29" s="28"/>
      <c r="PZI29" s="55"/>
      <c r="PZJ29" s="53"/>
      <c r="PZN29" s="28"/>
      <c r="PZP29" s="55"/>
      <c r="PZQ29" s="53"/>
      <c r="PZU29" s="28"/>
      <c r="PZW29" s="55"/>
      <c r="PZX29" s="53"/>
      <c r="QAB29" s="28"/>
      <c r="QAD29" s="55"/>
      <c r="QAE29" s="53"/>
      <c r="QAI29" s="28"/>
      <c r="QAK29" s="55"/>
      <c r="QAL29" s="53"/>
      <c r="QAP29" s="28"/>
      <c r="QAR29" s="55"/>
      <c r="QAS29" s="53"/>
      <c r="QAW29" s="28"/>
      <c r="QAY29" s="55"/>
      <c r="QAZ29" s="53"/>
      <c r="QBD29" s="28"/>
      <c r="QBF29" s="55"/>
      <c r="QBG29" s="53"/>
      <c r="QBK29" s="28"/>
      <c r="QBM29" s="55"/>
      <c r="QBN29" s="53"/>
      <c r="QBR29" s="28"/>
      <c r="QBT29" s="55"/>
      <c r="QBU29" s="53"/>
      <c r="QBY29" s="28"/>
      <c r="QCA29" s="55"/>
      <c r="QCB29" s="53"/>
      <c r="QCF29" s="28"/>
      <c r="QCH29" s="55"/>
      <c r="QCI29" s="53"/>
      <c r="QCM29" s="28"/>
      <c r="QCO29" s="55"/>
      <c r="QCP29" s="53"/>
      <c r="QCT29" s="28"/>
      <c r="QCV29" s="55"/>
      <c r="QCW29" s="53"/>
      <c r="QDA29" s="28"/>
      <c r="QDC29" s="55"/>
      <c r="QDD29" s="53"/>
      <c r="QDH29" s="28"/>
      <c r="QDJ29" s="55"/>
      <c r="QDK29" s="53"/>
      <c r="QDO29" s="28"/>
      <c r="QDQ29" s="55"/>
      <c r="QDR29" s="53"/>
      <c r="QDV29" s="28"/>
      <c r="QDX29" s="55"/>
      <c r="QDY29" s="53"/>
      <c r="QEC29" s="28"/>
      <c r="QEE29" s="55"/>
      <c r="QEF29" s="53"/>
      <c r="QEJ29" s="28"/>
      <c r="QEL29" s="55"/>
      <c r="QEM29" s="53"/>
      <c r="QEQ29" s="28"/>
      <c r="QES29" s="55"/>
      <c r="QET29" s="53"/>
      <c r="QEX29" s="28"/>
      <c r="QEZ29" s="55"/>
      <c r="QFA29" s="53"/>
      <c r="QFE29" s="28"/>
      <c r="QFG29" s="55"/>
      <c r="QFH29" s="53"/>
      <c r="QFL29" s="28"/>
      <c r="QFN29" s="55"/>
      <c r="QFO29" s="53"/>
      <c r="QFS29" s="28"/>
      <c r="QFU29" s="55"/>
      <c r="QFV29" s="53"/>
      <c r="QFZ29" s="28"/>
      <c r="QGB29" s="55"/>
      <c r="QGC29" s="53"/>
      <c r="QGG29" s="28"/>
      <c r="QGI29" s="55"/>
      <c r="QGJ29" s="53"/>
      <c r="QGN29" s="28"/>
      <c r="QGP29" s="55"/>
      <c r="QGQ29" s="53"/>
      <c r="QGU29" s="28"/>
      <c r="QGW29" s="55"/>
      <c r="QGX29" s="53"/>
      <c r="QHB29" s="28"/>
      <c r="QHD29" s="55"/>
      <c r="QHE29" s="53"/>
      <c r="QHI29" s="28"/>
      <c r="QHK29" s="55"/>
      <c r="QHL29" s="53"/>
      <c r="QHP29" s="28"/>
      <c r="QHR29" s="55"/>
      <c r="QHS29" s="53"/>
      <c r="QHW29" s="28"/>
      <c r="QHY29" s="55"/>
      <c r="QHZ29" s="53"/>
      <c r="QID29" s="28"/>
      <c r="QIF29" s="55"/>
      <c r="QIG29" s="53"/>
      <c r="QIK29" s="28"/>
      <c r="QIM29" s="55"/>
      <c r="QIN29" s="53"/>
      <c r="QIR29" s="28"/>
      <c r="QIT29" s="55"/>
      <c r="QIU29" s="53"/>
      <c r="QIY29" s="28"/>
      <c r="QJA29" s="55"/>
      <c r="QJB29" s="53"/>
      <c r="QJF29" s="28"/>
      <c r="QJH29" s="55"/>
      <c r="QJI29" s="53"/>
      <c r="QJM29" s="28"/>
      <c r="QJO29" s="55"/>
      <c r="QJP29" s="53"/>
      <c r="QJT29" s="28"/>
      <c r="QJV29" s="55"/>
      <c r="QJW29" s="53"/>
      <c r="QKA29" s="28"/>
      <c r="QKC29" s="55"/>
      <c r="QKD29" s="53"/>
      <c r="QKH29" s="28"/>
      <c r="QKJ29" s="55"/>
      <c r="QKK29" s="53"/>
      <c r="QKO29" s="28"/>
      <c r="QKQ29" s="55"/>
      <c r="QKR29" s="53"/>
      <c r="QKV29" s="28"/>
      <c r="QKX29" s="55"/>
      <c r="QKY29" s="53"/>
      <c r="QLC29" s="28"/>
      <c r="QLE29" s="55"/>
      <c r="QLF29" s="53"/>
      <c r="QLJ29" s="28"/>
      <c r="QLL29" s="55"/>
      <c r="QLM29" s="53"/>
      <c r="QLQ29" s="28"/>
      <c r="QLS29" s="55"/>
      <c r="QLT29" s="53"/>
      <c r="QLX29" s="28"/>
      <c r="QLZ29" s="55"/>
      <c r="QMA29" s="53"/>
      <c r="QME29" s="28"/>
      <c r="QMG29" s="55"/>
      <c r="QMH29" s="53"/>
      <c r="QML29" s="28"/>
      <c r="QMN29" s="55"/>
      <c r="QMO29" s="53"/>
      <c r="QMS29" s="28"/>
      <c r="QMU29" s="55"/>
      <c r="QMV29" s="53"/>
      <c r="QMZ29" s="28"/>
      <c r="QNB29" s="55"/>
      <c r="QNC29" s="53"/>
      <c r="QNG29" s="28"/>
      <c r="QNI29" s="55"/>
      <c r="QNJ29" s="53"/>
      <c r="QNN29" s="28"/>
      <c r="QNP29" s="55"/>
      <c r="QNQ29" s="53"/>
      <c r="QNU29" s="28"/>
      <c r="QNW29" s="55"/>
      <c r="QNX29" s="53"/>
      <c r="QOB29" s="28"/>
      <c r="QOD29" s="55"/>
      <c r="QOE29" s="53"/>
      <c r="QOI29" s="28"/>
      <c r="QOK29" s="55"/>
      <c r="QOL29" s="53"/>
      <c r="QOP29" s="28"/>
      <c r="QOR29" s="55"/>
      <c r="QOS29" s="53"/>
      <c r="QOW29" s="28"/>
      <c r="QOY29" s="55"/>
      <c r="QOZ29" s="53"/>
      <c r="QPD29" s="28"/>
      <c r="QPF29" s="55"/>
      <c r="QPG29" s="53"/>
      <c r="QPK29" s="28"/>
      <c r="QPM29" s="55"/>
      <c r="QPN29" s="53"/>
      <c r="QPR29" s="28"/>
      <c r="QPT29" s="55"/>
      <c r="QPU29" s="53"/>
      <c r="QPY29" s="28"/>
      <c r="QQA29" s="55"/>
      <c r="QQB29" s="53"/>
      <c r="QQF29" s="28"/>
      <c r="QQH29" s="55"/>
      <c r="QQI29" s="53"/>
      <c r="QQM29" s="28"/>
      <c r="QQO29" s="55"/>
      <c r="QQP29" s="53"/>
      <c r="QQT29" s="28"/>
      <c r="QQV29" s="55"/>
      <c r="QQW29" s="53"/>
      <c r="QRA29" s="28"/>
      <c r="QRC29" s="55"/>
      <c r="QRD29" s="53"/>
      <c r="QRH29" s="28"/>
      <c r="QRJ29" s="55"/>
      <c r="QRK29" s="53"/>
      <c r="QRO29" s="28"/>
      <c r="QRQ29" s="55"/>
      <c r="QRR29" s="53"/>
      <c r="QRV29" s="28"/>
      <c r="QRX29" s="55"/>
      <c r="QRY29" s="53"/>
      <c r="QSC29" s="28"/>
      <c r="QSE29" s="55"/>
      <c r="QSF29" s="53"/>
      <c r="QSJ29" s="28"/>
      <c r="QSL29" s="55"/>
      <c r="QSM29" s="53"/>
      <c r="QSQ29" s="28"/>
      <c r="QSS29" s="55"/>
      <c r="QST29" s="53"/>
      <c r="QSX29" s="28"/>
      <c r="QSZ29" s="55"/>
      <c r="QTA29" s="53"/>
      <c r="QTE29" s="28"/>
      <c r="QTG29" s="55"/>
      <c r="QTH29" s="53"/>
      <c r="QTL29" s="28"/>
      <c r="QTN29" s="55"/>
      <c r="QTO29" s="53"/>
      <c r="QTS29" s="28"/>
      <c r="QTU29" s="55"/>
      <c r="QTV29" s="53"/>
      <c r="QTZ29" s="28"/>
      <c r="QUB29" s="55"/>
      <c r="QUC29" s="53"/>
      <c r="QUG29" s="28"/>
      <c r="QUI29" s="55"/>
      <c r="QUJ29" s="53"/>
      <c r="QUN29" s="28"/>
      <c r="QUP29" s="55"/>
      <c r="QUQ29" s="53"/>
      <c r="QUU29" s="28"/>
      <c r="QUW29" s="55"/>
      <c r="QUX29" s="53"/>
      <c r="QVB29" s="28"/>
      <c r="QVD29" s="55"/>
      <c r="QVE29" s="53"/>
      <c r="QVI29" s="28"/>
      <c r="QVK29" s="55"/>
      <c r="QVL29" s="53"/>
      <c r="QVP29" s="28"/>
      <c r="QVR29" s="55"/>
      <c r="QVS29" s="53"/>
      <c r="QVW29" s="28"/>
      <c r="QVY29" s="55"/>
      <c r="QVZ29" s="53"/>
      <c r="QWD29" s="28"/>
      <c r="QWF29" s="55"/>
      <c r="QWG29" s="53"/>
      <c r="QWK29" s="28"/>
      <c r="QWM29" s="55"/>
      <c r="QWN29" s="53"/>
      <c r="QWR29" s="28"/>
      <c r="QWT29" s="55"/>
      <c r="QWU29" s="53"/>
      <c r="QWY29" s="28"/>
      <c r="QXA29" s="55"/>
      <c r="QXB29" s="53"/>
      <c r="QXF29" s="28"/>
      <c r="QXH29" s="55"/>
      <c r="QXI29" s="53"/>
      <c r="QXM29" s="28"/>
      <c r="QXO29" s="55"/>
      <c r="QXP29" s="53"/>
      <c r="QXT29" s="28"/>
      <c r="QXV29" s="55"/>
      <c r="QXW29" s="53"/>
      <c r="QYA29" s="28"/>
      <c r="QYC29" s="55"/>
      <c r="QYD29" s="53"/>
      <c r="QYH29" s="28"/>
      <c r="QYJ29" s="55"/>
      <c r="QYK29" s="53"/>
      <c r="QYO29" s="28"/>
      <c r="QYQ29" s="55"/>
      <c r="QYR29" s="53"/>
      <c r="QYV29" s="28"/>
      <c r="QYX29" s="55"/>
      <c r="QYY29" s="53"/>
      <c r="QZC29" s="28"/>
      <c r="QZE29" s="55"/>
      <c r="QZF29" s="53"/>
      <c r="QZJ29" s="28"/>
      <c r="QZL29" s="55"/>
      <c r="QZM29" s="53"/>
      <c r="QZQ29" s="28"/>
      <c r="QZS29" s="55"/>
      <c r="QZT29" s="53"/>
      <c r="QZX29" s="28"/>
      <c r="QZZ29" s="55"/>
      <c r="RAA29" s="53"/>
      <c r="RAE29" s="28"/>
      <c r="RAG29" s="55"/>
      <c r="RAH29" s="53"/>
      <c r="RAL29" s="28"/>
      <c r="RAN29" s="55"/>
      <c r="RAO29" s="53"/>
      <c r="RAS29" s="28"/>
      <c r="RAU29" s="55"/>
      <c r="RAV29" s="53"/>
      <c r="RAZ29" s="28"/>
      <c r="RBB29" s="55"/>
      <c r="RBC29" s="53"/>
      <c r="RBG29" s="28"/>
      <c r="RBI29" s="55"/>
      <c r="RBJ29" s="53"/>
      <c r="RBN29" s="28"/>
      <c r="RBP29" s="55"/>
      <c r="RBQ29" s="53"/>
      <c r="RBU29" s="28"/>
      <c r="RBW29" s="55"/>
      <c r="RBX29" s="53"/>
      <c r="RCB29" s="28"/>
      <c r="RCD29" s="55"/>
      <c r="RCE29" s="53"/>
      <c r="RCI29" s="28"/>
      <c r="RCK29" s="55"/>
      <c r="RCL29" s="53"/>
      <c r="RCP29" s="28"/>
      <c r="RCR29" s="55"/>
      <c r="RCS29" s="53"/>
      <c r="RCW29" s="28"/>
      <c r="RCY29" s="55"/>
      <c r="RCZ29" s="53"/>
      <c r="RDD29" s="28"/>
      <c r="RDF29" s="55"/>
      <c r="RDG29" s="53"/>
      <c r="RDK29" s="28"/>
      <c r="RDM29" s="55"/>
      <c r="RDN29" s="53"/>
      <c r="RDR29" s="28"/>
      <c r="RDT29" s="55"/>
      <c r="RDU29" s="53"/>
      <c r="RDY29" s="28"/>
      <c r="REA29" s="55"/>
      <c r="REB29" s="53"/>
      <c r="REF29" s="28"/>
      <c r="REH29" s="55"/>
      <c r="REI29" s="53"/>
      <c r="REM29" s="28"/>
      <c r="REO29" s="55"/>
      <c r="REP29" s="53"/>
      <c r="RET29" s="28"/>
      <c r="REV29" s="55"/>
      <c r="REW29" s="53"/>
      <c r="RFA29" s="28"/>
      <c r="RFC29" s="55"/>
      <c r="RFD29" s="53"/>
      <c r="RFH29" s="28"/>
      <c r="RFJ29" s="55"/>
      <c r="RFK29" s="53"/>
      <c r="RFO29" s="28"/>
      <c r="RFQ29" s="55"/>
      <c r="RFR29" s="53"/>
      <c r="RFV29" s="28"/>
      <c r="RFX29" s="55"/>
      <c r="RFY29" s="53"/>
      <c r="RGC29" s="28"/>
      <c r="RGE29" s="55"/>
      <c r="RGF29" s="53"/>
      <c r="RGJ29" s="28"/>
      <c r="RGL29" s="55"/>
      <c r="RGM29" s="53"/>
      <c r="RGQ29" s="28"/>
      <c r="RGS29" s="55"/>
      <c r="RGT29" s="53"/>
      <c r="RGX29" s="28"/>
      <c r="RGZ29" s="55"/>
      <c r="RHA29" s="53"/>
      <c r="RHE29" s="28"/>
      <c r="RHG29" s="55"/>
      <c r="RHH29" s="53"/>
      <c r="RHL29" s="28"/>
      <c r="RHN29" s="55"/>
      <c r="RHO29" s="53"/>
      <c r="RHS29" s="28"/>
      <c r="RHU29" s="55"/>
      <c r="RHV29" s="53"/>
      <c r="RHZ29" s="28"/>
      <c r="RIB29" s="55"/>
      <c r="RIC29" s="53"/>
      <c r="RIG29" s="28"/>
      <c r="RII29" s="55"/>
      <c r="RIJ29" s="53"/>
      <c r="RIN29" s="28"/>
      <c r="RIP29" s="55"/>
      <c r="RIQ29" s="53"/>
      <c r="RIU29" s="28"/>
      <c r="RIW29" s="55"/>
      <c r="RIX29" s="53"/>
      <c r="RJB29" s="28"/>
      <c r="RJD29" s="55"/>
      <c r="RJE29" s="53"/>
      <c r="RJI29" s="28"/>
      <c r="RJK29" s="55"/>
      <c r="RJL29" s="53"/>
      <c r="RJP29" s="28"/>
      <c r="RJR29" s="55"/>
      <c r="RJS29" s="53"/>
      <c r="RJW29" s="28"/>
      <c r="RJY29" s="55"/>
      <c r="RJZ29" s="53"/>
      <c r="RKD29" s="28"/>
      <c r="RKF29" s="55"/>
      <c r="RKG29" s="53"/>
      <c r="RKK29" s="28"/>
      <c r="RKM29" s="55"/>
      <c r="RKN29" s="53"/>
      <c r="RKR29" s="28"/>
      <c r="RKT29" s="55"/>
      <c r="RKU29" s="53"/>
      <c r="RKY29" s="28"/>
      <c r="RLA29" s="55"/>
      <c r="RLB29" s="53"/>
      <c r="RLF29" s="28"/>
      <c r="RLH29" s="55"/>
      <c r="RLI29" s="53"/>
      <c r="RLM29" s="28"/>
      <c r="RLO29" s="55"/>
      <c r="RLP29" s="53"/>
      <c r="RLT29" s="28"/>
      <c r="RLV29" s="55"/>
      <c r="RLW29" s="53"/>
      <c r="RMA29" s="28"/>
      <c r="RMC29" s="55"/>
      <c r="RMD29" s="53"/>
      <c r="RMH29" s="28"/>
      <c r="RMJ29" s="55"/>
      <c r="RMK29" s="53"/>
      <c r="RMO29" s="28"/>
      <c r="RMQ29" s="55"/>
      <c r="RMR29" s="53"/>
      <c r="RMV29" s="28"/>
      <c r="RMX29" s="55"/>
      <c r="RMY29" s="53"/>
      <c r="RNC29" s="28"/>
      <c r="RNE29" s="55"/>
      <c r="RNF29" s="53"/>
      <c r="RNJ29" s="28"/>
      <c r="RNL29" s="55"/>
      <c r="RNM29" s="53"/>
      <c r="RNQ29" s="28"/>
      <c r="RNS29" s="55"/>
      <c r="RNT29" s="53"/>
      <c r="RNX29" s="28"/>
      <c r="RNZ29" s="55"/>
      <c r="ROA29" s="53"/>
      <c r="ROE29" s="28"/>
      <c r="ROG29" s="55"/>
      <c r="ROH29" s="53"/>
      <c r="ROL29" s="28"/>
      <c r="RON29" s="55"/>
      <c r="ROO29" s="53"/>
      <c r="ROS29" s="28"/>
      <c r="ROU29" s="55"/>
      <c r="ROV29" s="53"/>
      <c r="ROZ29" s="28"/>
      <c r="RPB29" s="55"/>
      <c r="RPC29" s="53"/>
      <c r="RPG29" s="28"/>
      <c r="RPI29" s="55"/>
      <c r="RPJ29" s="53"/>
      <c r="RPN29" s="28"/>
      <c r="RPP29" s="55"/>
      <c r="RPQ29" s="53"/>
      <c r="RPU29" s="28"/>
      <c r="RPW29" s="55"/>
      <c r="RPX29" s="53"/>
      <c r="RQB29" s="28"/>
      <c r="RQD29" s="55"/>
      <c r="RQE29" s="53"/>
      <c r="RQI29" s="28"/>
      <c r="RQK29" s="55"/>
      <c r="RQL29" s="53"/>
      <c r="RQP29" s="28"/>
      <c r="RQR29" s="55"/>
      <c r="RQS29" s="53"/>
      <c r="RQW29" s="28"/>
      <c r="RQY29" s="55"/>
      <c r="RQZ29" s="53"/>
      <c r="RRD29" s="28"/>
      <c r="RRF29" s="55"/>
      <c r="RRG29" s="53"/>
      <c r="RRK29" s="28"/>
      <c r="RRM29" s="55"/>
      <c r="RRN29" s="53"/>
      <c r="RRR29" s="28"/>
      <c r="RRT29" s="55"/>
      <c r="RRU29" s="53"/>
      <c r="RRY29" s="28"/>
      <c r="RSA29" s="55"/>
      <c r="RSB29" s="53"/>
      <c r="RSF29" s="28"/>
      <c r="RSH29" s="55"/>
      <c r="RSI29" s="53"/>
      <c r="RSM29" s="28"/>
      <c r="RSO29" s="55"/>
      <c r="RSP29" s="53"/>
      <c r="RST29" s="28"/>
      <c r="RSV29" s="55"/>
      <c r="RSW29" s="53"/>
      <c r="RTA29" s="28"/>
      <c r="RTC29" s="55"/>
      <c r="RTD29" s="53"/>
      <c r="RTH29" s="28"/>
      <c r="RTJ29" s="55"/>
      <c r="RTK29" s="53"/>
      <c r="RTO29" s="28"/>
      <c r="RTQ29" s="55"/>
      <c r="RTR29" s="53"/>
      <c r="RTV29" s="28"/>
      <c r="RTX29" s="55"/>
      <c r="RTY29" s="53"/>
      <c r="RUC29" s="28"/>
      <c r="RUE29" s="55"/>
      <c r="RUF29" s="53"/>
      <c r="RUJ29" s="28"/>
      <c r="RUL29" s="55"/>
      <c r="RUM29" s="53"/>
      <c r="RUQ29" s="28"/>
      <c r="RUS29" s="55"/>
      <c r="RUT29" s="53"/>
      <c r="RUX29" s="28"/>
      <c r="RUZ29" s="55"/>
      <c r="RVA29" s="53"/>
      <c r="RVE29" s="28"/>
      <c r="RVG29" s="55"/>
      <c r="RVH29" s="53"/>
      <c r="RVL29" s="28"/>
      <c r="RVN29" s="55"/>
      <c r="RVO29" s="53"/>
      <c r="RVS29" s="28"/>
      <c r="RVU29" s="55"/>
      <c r="RVV29" s="53"/>
      <c r="RVZ29" s="28"/>
      <c r="RWB29" s="55"/>
      <c r="RWC29" s="53"/>
      <c r="RWG29" s="28"/>
      <c r="RWI29" s="55"/>
      <c r="RWJ29" s="53"/>
      <c r="RWN29" s="28"/>
      <c r="RWP29" s="55"/>
      <c r="RWQ29" s="53"/>
      <c r="RWU29" s="28"/>
      <c r="RWW29" s="55"/>
      <c r="RWX29" s="53"/>
      <c r="RXB29" s="28"/>
      <c r="RXD29" s="55"/>
      <c r="RXE29" s="53"/>
      <c r="RXI29" s="28"/>
      <c r="RXK29" s="55"/>
      <c r="RXL29" s="53"/>
      <c r="RXP29" s="28"/>
      <c r="RXR29" s="55"/>
      <c r="RXS29" s="53"/>
      <c r="RXW29" s="28"/>
      <c r="RXY29" s="55"/>
      <c r="RXZ29" s="53"/>
      <c r="RYD29" s="28"/>
      <c r="RYF29" s="55"/>
      <c r="RYG29" s="53"/>
      <c r="RYK29" s="28"/>
      <c r="RYM29" s="55"/>
      <c r="RYN29" s="53"/>
      <c r="RYR29" s="28"/>
      <c r="RYT29" s="55"/>
      <c r="RYU29" s="53"/>
      <c r="RYY29" s="28"/>
      <c r="RZA29" s="55"/>
      <c r="RZB29" s="53"/>
      <c r="RZF29" s="28"/>
      <c r="RZH29" s="55"/>
      <c r="RZI29" s="53"/>
      <c r="RZM29" s="28"/>
      <c r="RZO29" s="55"/>
      <c r="RZP29" s="53"/>
      <c r="RZT29" s="28"/>
      <c r="RZV29" s="55"/>
      <c r="RZW29" s="53"/>
      <c r="SAA29" s="28"/>
      <c r="SAC29" s="55"/>
      <c r="SAD29" s="53"/>
      <c r="SAH29" s="28"/>
      <c r="SAJ29" s="55"/>
      <c r="SAK29" s="53"/>
      <c r="SAO29" s="28"/>
      <c r="SAQ29" s="55"/>
      <c r="SAR29" s="53"/>
      <c r="SAV29" s="28"/>
      <c r="SAX29" s="55"/>
      <c r="SAY29" s="53"/>
      <c r="SBC29" s="28"/>
      <c r="SBE29" s="55"/>
      <c r="SBF29" s="53"/>
      <c r="SBJ29" s="28"/>
      <c r="SBL29" s="55"/>
      <c r="SBM29" s="53"/>
      <c r="SBQ29" s="28"/>
      <c r="SBS29" s="55"/>
      <c r="SBT29" s="53"/>
      <c r="SBX29" s="28"/>
      <c r="SBZ29" s="55"/>
      <c r="SCA29" s="53"/>
      <c r="SCE29" s="28"/>
      <c r="SCG29" s="55"/>
      <c r="SCH29" s="53"/>
      <c r="SCL29" s="28"/>
      <c r="SCN29" s="55"/>
      <c r="SCO29" s="53"/>
      <c r="SCS29" s="28"/>
      <c r="SCU29" s="55"/>
      <c r="SCV29" s="53"/>
      <c r="SCZ29" s="28"/>
      <c r="SDB29" s="55"/>
      <c r="SDC29" s="53"/>
      <c r="SDG29" s="28"/>
      <c r="SDI29" s="55"/>
      <c r="SDJ29" s="53"/>
      <c r="SDN29" s="28"/>
      <c r="SDP29" s="55"/>
      <c r="SDQ29" s="53"/>
      <c r="SDU29" s="28"/>
      <c r="SDW29" s="55"/>
      <c r="SDX29" s="53"/>
      <c r="SEB29" s="28"/>
      <c r="SED29" s="55"/>
      <c r="SEE29" s="53"/>
      <c r="SEI29" s="28"/>
      <c r="SEK29" s="55"/>
      <c r="SEL29" s="53"/>
      <c r="SEP29" s="28"/>
      <c r="SER29" s="55"/>
      <c r="SES29" s="53"/>
      <c r="SEW29" s="28"/>
      <c r="SEY29" s="55"/>
      <c r="SEZ29" s="53"/>
      <c r="SFD29" s="28"/>
      <c r="SFF29" s="55"/>
      <c r="SFG29" s="53"/>
      <c r="SFK29" s="28"/>
      <c r="SFM29" s="55"/>
      <c r="SFN29" s="53"/>
      <c r="SFR29" s="28"/>
      <c r="SFT29" s="55"/>
      <c r="SFU29" s="53"/>
      <c r="SFY29" s="28"/>
      <c r="SGA29" s="55"/>
      <c r="SGB29" s="53"/>
      <c r="SGF29" s="28"/>
      <c r="SGH29" s="55"/>
      <c r="SGI29" s="53"/>
      <c r="SGM29" s="28"/>
      <c r="SGO29" s="55"/>
      <c r="SGP29" s="53"/>
      <c r="SGT29" s="28"/>
      <c r="SGV29" s="55"/>
      <c r="SGW29" s="53"/>
      <c r="SHA29" s="28"/>
      <c r="SHC29" s="55"/>
      <c r="SHD29" s="53"/>
      <c r="SHH29" s="28"/>
      <c r="SHJ29" s="55"/>
      <c r="SHK29" s="53"/>
      <c r="SHO29" s="28"/>
      <c r="SHQ29" s="55"/>
      <c r="SHR29" s="53"/>
      <c r="SHV29" s="28"/>
      <c r="SHX29" s="55"/>
      <c r="SHY29" s="53"/>
      <c r="SIC29" s="28"/>
      <c r="SIE29" s="55"/>
      <c r="SIF29" s="53"/>
      <c r="SIJ29" s="28"/>
      <c r="SIL29" s="55"/>
      <c r="SIM29" s="53"/>
      <c r="SIQ29" s="28"/>
      <c r="SIS29" s="55"/>
      <c r="SIT29" s="53"/>
      <c r="SIX29" s="28"/>
      <c r="SIZ29" s="55"/>
      <c r="SJA29" s="53"/>
      <c r="SJE29" s="28"/>
      <c r="SJG29" s="55"/>
      <c r="SJH29" s="53"/>
      <c r="SJL29" s="28"/>
      <c r="SJN29" s="55"/>
      <c r="SJO29" s="53"/>
      <c r="SJS29" s="28"/>
      <c r="SJU29" s="55"/>
      <c r="SJV29" s="53"/>
      <c r="SJZ29" s="28"/>
      <c r="SKB29" s="55"/>
      <c r="SKC29" s="53"/>
      <c r="SKG29" s="28"/>
      <c r="SKI29" s="55"/>
      <c r="SKJ29" s="53"/>
      <c r="SKN29" s="28"/>
      <c r="SKP29" s="55"/>
      <c r="SKQ29" s="53"/>
      <c r="SKU29" s="28"/>
      <c r="SKW29" s="55"/>
      <c r="SKX29" s="53"/>
      <c r="SLB29" s="28"/>
      <c r="SLD29" s="55"/>
      <c r="SLE29" s="53"/>
      <c r="SLI29" s="28"/>
      <c r="SLK29" s="55"/>
      <c r="SLL29" s="53"/>
      <c r="SLP29" s="28"/>
      <c r="SLR29" s="55"/>
      <c r="SLS29" s="53"/>
      <c r="SLW29" s="28"/>
      <c r="SLY29" s="55"/>
      <c r="SLZ29" s="53"/>
      <c r="SMD29" s="28"/>
      <c r="SMF29" s="55"/>
      <c r="SMG29" s="53"/>
      <c r="SMK29" s="28"/>
      <c r="SMM29" s="55"/>
      <c r="SMN29" s="53"/>
      <c r="SMR29" s="28"/>
      <c r="SMT29" s="55"/>
      <c r="SMU29" s="53"/>
      <c r="SMY29" s="28"/>
      <c r="SNA29" s="55"/>
      <c r="SNB29" s="53"/>
      <c r="SNF29" s="28"/>
      <c r="SNH29" s="55"/>
      <c r="SNI29" s="53"/>
      <c r="SNM29" s="28"/>
      <c r="SNO29" s="55"/>
      <c r="SNP29" s="53"/>
      <c r="SNT29" s="28"/>
      <c r="SNV29" s="55"/>
      <c r="SNW29" s="53"/>
      <c r="SOA29" s="28"/>
      <c r="SOC29" s="55"/>
      <c r="SOD29" s="53"/>
      <c r="SOH29" s="28"/>
      <c r="SOJ29" s="55"/>
      <c r="SOK29" s="53"/>
      <c r="SOO29" s="28"/>
      <c r="SOQ29" s="55"/>
      <c r="SOR29" s="53"/>
      <c r="SOV29" s="28"/>
      <c r="SOX29" s="55"/>
      <c r="SOY29" s="53"/>
      <c r="SPC29" s="28"/>
      <c r="SPE29" s="55"/>
      <c r="SPF29" s="53"/>
      <c r="SPJ29" s="28"/>
      <c r="SPL29" s="55"/>
      <c r="SPM29" s="53"/>
      <c r="SPQ29" s="28"/>
      <c r="SPS29" s="55"/>
      <c r="SPT29" s="53"/>
      <c r="SPX29" s="28"/>
      <c r="SPZ29" s="55"/>
      <c r="SQA29" s="53"/>
      <c r="SQE29" s="28"/>
      <c r="SQG29" s="55"/>
      <c r="SQH29" s="53"/>
      <c r="SQL29" s="28"/>
      <c r="SQN29" s="55"/>
      <c r="SQO29" s="53"/>
      <c r="SQS29" s="28"/>
      <c r="SQU29" s="55"/>
      <c r="SQV29" s="53"/>
      <c r="SQZ29" s="28"/>
      <c r="SRB29" s="55"/>
      <c r="SRC29" s="53"/>
      <c r="SRG29" s="28"/>
      <c r="SRI29" s="55"/>
      <c r="SRJ29" s="53"/>
      <c r="SRN29" s="28"/>
      <c r="SRP29" s="55"/>
      <c r="SRQ29" s="53"/>
      <c r="SRU29" s="28"/>
      <c r="SRW29" s="55"/>
      <c r="SRX29" s="53"/>
      <c r="SSB29" s="28"/>
      <c r="SSD29" s="55"/>
      <c r="SSE29" s="53"/>
      <c r="SSI29" s="28"/>
      <c r="SSK29" s="55"/>
      <c r="SSL29" s="53"/>
      <c r="SSP29" s="28"/>
      <c r="SSR29" s="55"/>
      <c r="SSS29" s="53"/>
      <c r="SSW29" s="28"/>
      <c r="SSY29" s="55"/>
      <c r="SSZ29" s="53"/>
      <c r="STD29" s="28"/>
      <c r="STF29" s="55"/>
      <c r="STG29" s="53"/>
      <c r="STK29" s="28"/>
      <c r="STM29" s="55"/>
      <c r="STN29" s="53"/>
      <c r="STR29" s="28"/>
      <c r="STT29" s="55"/>
      <c r="STU29" s="53"/>
      <c r="STY29" s="28"/>
      <c r="SUA29" s="55"/>
      <c r="SUB29" s="53"/>
      <c r="SUF29" s="28"/>
      <c r="SUH29" s="55"/>
      <c r="SUI29" s="53"/>
      <c r="SUM29" s="28"/>
      <c r="SUO29" s="55"/>
      <c r="SUP29" s="53"/>
      <c r="SUT29" s="28"/>
      <c r="SUV29" s="55"/>
      <c r="SUW29" s="53"/>
      <c r="SVA29" s="28"/>
      <c r="SVC29" s="55"/>
      <c r="SVD29" s="53"/>
      <c r="SVH29" s="28"/>
      <c r="SVJ29" s="55"/>
      <c r="SVK29" s="53"/>
      <c r="SVO29" s="28"/>
      <c r="SVQ29" s="55"/>
      <c r="SVR29" s="53"/>
      <c r="SVV29" s="28"/>
      <c r="SVX29" s="55"/>
      <c r="SVY29" s="53"/>
      <c r="SWC29" s="28"/>
      <c r="SWE29" s="55"/>
      <c r="SWF29" s="53"/>
      <c r="SWJ29" s="28"/>
      <c r="SWL29" s="55"/>
      <c r="SWM29" s="53"/>
      <c r="SWQ29" s="28"/>
      <c r="SWS29" s="55"/>
      <c r="SWT29" s="53"/>
      <c r="SWX29" s="28"/>
      <c r="SWZ29" s="55"/>
      <c r="SXA29" s="53"/>
      <c r="SXE29" s="28"/>
      <c r="SXG29" s="55"/>
      <c r="SXH29" s="53"/>
      <c r="SXL29" s="28"/>
      <c r="SXN29" s="55"/>
      <c r="SXO29" s="53"/>
      <c r="SXS29" s="28"/>
      <c r="SXU29" s="55"/>
      <c r="SXV29" s="53"/>
      <c r="SXZ29" s="28"/>
      <c r="SYB29" s="55"/>
      <c r="SYC29" s="53"/>
      <c r="SYG29" s="28"/>
      <c r="SYI29" s="55"/>
      <c r="SYJ29" s="53"/>
      <c r="SYN29" s="28"/>
      <c r="SYP29" s="55"/>
      <c r="SYQ29" s="53"/>
      <c r="SYU29" s="28"/>
      <c r="SYW29" s="55"/>
      <c r="SYX29" s="53"/>
      <c r="SZB29" s="28"/>
      <c r="SZD29" s="55"/>
      <c r="SZE29" s="53"/>
      <c r="SZI29" s="28"/>
      <c r="SZK29" s="55"/>
      <c r="SZL29" s="53"/>
      <c r="SZP29" s="28"/>
      <c r="SZR29" s="55"/>
      <c r="SZS29" s="53"/>
      <c r="SZW29" s="28"/>
      <c r="SZY29" s="55"/>
      <c r="SZZ29" s="53"/>
      <c r="TAD29" s="28"/>
      <c r="TAF29" s="55"/>
      <c r="TAG29" s="53"/>
      <c r="TAK29" s="28"/>
      <c r="TAM29" s="55"/>
      <c r="TAN29" s="53"/>
      <c r="TAR29" s="28"/>
      <c r="TAT29" s="55"/>
      <c r="TAU29" s="53"/>
      <c r="TAY29" s="28"/>
      <c r="TBA29" s="55"/>
      <c r="TBB29" s="53"/>
      <c r="TBF29" s="28"/>
      <c r="TBH29" s="55"/>
      <c r="TBI29" s="53"/>
      <c r="TBM29" s="28"/>
      <c r="TBO29" s="55"/>
      <c r="TBP29" s="53"/>
      <c r="TBT29" s="28"/>
      <c r="TBV29" s="55"/>
      <c r="TBW29" s="53"/>
      <c r="TCA29" s="28"/>
      <c r="TCC29" s="55"/>
      <c r="TCD29" s="53"/>
      <c r="TCH29" s="28"/>
      <c r="TCJ29" s="55"/>
      <c r="TCK29" s="53"/>
      <c r="TCO29" s="28"/>
      <c r="TCQ29" s="55"/>
      <c r="TCR29" s="53"/>
      <c r="TCV29" s="28"/>
      <c r="TCX29" s="55"/>
      <c r="TCY29" s="53"/>
      <c r="TDC29" s="28"/>
      <c r="TDE29" s="55"/>
      <c r="TDF29" s="53"/>
      <c r="TDJ29" s="28"/>
      <c r="TDL29" s="55"/>
      <c r="TDM29" s="53"/>
      <c r="TDQ29" s="28"/>
      <c r="TDS29" s="55"/>
      <c r="TDT29" s="53"/>
      <c r="TDX29" s="28"/>
      <c r="TDZ29" s="55"/>
      <c r="TEA29" s="53"/>
      <c r="TEE29" s="28"/>
      <c r="TEG29" s="55"/>
      <c r="TEH29" s="53"/>
      <c r="TEL29" s="28"/>
      <c r="TEN29" s="55"/>
      <c r="TEO29" s="53"/>
      <c r="TES29" s="28"/>
      <c r="TEU29" s="55"/>
      <c r="TEV29" s="53"/>
      <c r="TEZ29" s="28"/>
      <c r="TFB29" s="55"/>
      <c r="TFC29" s="53"/>
      <c r="TFG29" s="28"/>
      <c r="TFI29" s="55"/>
      <c r="TFJ29" s="53"/>
      <c r="TFN29" s="28"/>
      <c r="TFP29" s="55"/>
      <c r="TFQ29" s="53"/>
      <c r="TFU29" s="28"/>
      <c r="TFW29" s="55"/>
      <c r="TFX29" s="53"/>
      <c r="TGB29" s="28"/>
      <c r="TGD29" s="55"/>
      <c r="TGE29" s="53"/>
      <c r="TGI29" s="28"/>
      <c r="TGK29" s="55"/>
      <c r="TGL29" s="53"/>
      <c r="TGP29" s="28"/>
      <c r="TGR29" s="55"/>
      <c r="TGS29" s="53"/>
      <c r="TGW29" s="28"/>
      <c r="TGY29" s="55"/>
      <c r="TGZ29" s="53"/>
      <c r="THD29" s="28"/>
      <c r="THF29" s="55"/>
      <c r="THG29" s="53"/>
      <c r="THK29" s="28"/>
      <c r="THM29" s="55"/>
      <c r="THN29" s="53"/>
      <c r="THR29" s="28"/>
      <c r="THT29" s="55"/>
      <c r="THU29" s="53"/>
      <c r="THY29" s="28"/>
      <c r="TIA29" s="55"/>
      <c r="TIB29" s="53"/>
      <c r="TIF29" s="28"/>
      <c r="TIH29" s="55"/>
      <c r="TII29" s="53"/>
      <c r="TIM29" s="28"/>
      <c r="TIO29" s="55"/>
      <c r="TIP29" s="53"/>
      <c r="TIT29" s="28"/>
      <c r="TIV29" s="55"/>
      <c r="TIW29" s="53"/>
      <c r="TJA29" s="28"/>
      <c r="TJC29" s="55"/>
      <c r="TJD29" s="53"/>
      <c r="TJH29" s="28"/>
      <c r="TJJ29" s="55"/>
      <c r="TJK29" s="53"/>
      <c r="TJO29" s="28"/>
      <c r="TJQ29" s="55"/>
      <c r="TJR29" s="53"/>
      <c r="TJV29" s="28"/>
      <c r="TJX29" s="55"/>
      <c r="TJY29" s="53"/>
      <c r="TKC29" s="28"/>
      <c r="TKE29" s="55"/>
      <c r="TKF29" s="53"/>
      <c r="TKJ29" s="28"/>
      <c r="TKL29" s="55"/>
      <c r="TKM29" s="53"/>
      <c r="TKQ29" s="28"/>
      <c r="TKS29" s="55"/>
      <c r="TKT29" s="53"/>
      <c r="TKX29" s="28"/>
      <c r="TKZ29" s="55"/>
      <c r="TLA29" s="53"/>
      <c r="TLE29" s="28"/>
      <c r="TLG29" s="55"/>
      <c r="TLH29" s="53"/>
      <c r="TLL29" s="28"/>
      <c r="TLN29" s="55"/>
      <c r="TLO29" s="53"/>
      <c r="TLS29" s="28"/>
      <c r="TLU29" s="55"/>
      <c r="TLV29" s="53"/>
      <c r="TLZ29" s="28"/>
      <c r="TMB29" s="55"/>
      <c r="TMC29" s="53"/>
      <c r="TMG29" s="28"/>
      <c r="TMI29" s="55"/>
      <c r="TMJ29" s="53"/>
      <c r="TMN29" s="28"/>
      <c r="TMP29" s="55"/>
      <c r="TMQ29" s="53"/>
      <c r="TMU29" s="28"/>
      <c r="TMW29" s="55"/>
      <c r="TMX29" s="53"/>
      <c r="TNB29" s="28"/>
      <c r="TND29" s="55"/>
      <c r="TNE29" s="53"/>
      <c r="TNI29" s="28"/>
      <c r="TNK29" s="55"/>
      <c r="TNL29" s="53"/>
      <c r="TNP29" s="28"/>
      <c r="TNR29" s="55"/>
      <c r="TNS29" s="53"/>
      <c r="TNW29" s="28"/>
      <c r="TNY29" s="55"/>
      <c r="TNZ29" s="53"/>
      <c r="TOD29" s="28"/>
      <c r="TOF29" s="55"/>
      <c r="TOG29" s="53"/>
      <c r="TOK29" s="28"/>
      <c r="TOM29" s="55"/>
      <c r="TON29" s="53"/>
      <c r="TOR29" s="28"/>
      <c r="TOT29" s="55"/>
      <c r="TOU29" s="53"/>
      <c r="TOY29" s="28"/>
      <c r="TPA29" s="55"/>
      <c r="TPB29" s="53"/>
      <c r="TPF29" s="28"/>
      <c r="TPH29" s="55"/>
      <c r="TPI29" s="53"/>
      <c r="TPM29" s="28"/>
      <c r="TPO29" s="55"/>
      <c r="TPP29" s="53"/>
      <c r="TPT29" s="28"/>
      <c r="TPV29" s="55"/>
      <c r="TPW29" s="53"/>
      <c r="TQA29" s="28"/>
      <c r="TQC29" s="55"/>
      <c r="TQD29" s="53"/>
      <c r="TQH29" s="28"/>
      <c r="TQJ29" s="55"/>
      <c r="TQK29" s="53"/>
      <c r="TQO29" s="28"/>
      <c r="TQQ29" s="55"/>
      <c r="TQR29" s="53"/>
      <c r="TQV29" s="28"/>
      <c r="TQX29" s="55"/>
      <c r="TQY29" s="53"/>
      <c r="TRC29" s="28"/>
      <c r="TRE29" s="55"/>
      <c r="TRF29" s="53"/>
      <c r="TRJ29" s="28"/>
      <c r="TRL29" s="55"/>
      <c r="TRM29" s="53"/>
      <c r="TRQ29" s="28"/>
      <c r="TRS29" s="55"/>
      <c r="TRT29" s="53"/>
      <c r="TRX29" s="28"/>
      <c r="TRZ29" s="55"/>
      <c r="TSA29" s="53"/>
      <c r="TSE29" s="28"/>
      <c r="TSG29" s="55"/>
      <c r="TSH29" s="53"/>
      <c r="TSL29" s="28"/>
      <c r="TSN29" s="55"/>
      <c r="TSO29" s="53"/>
      <c r="TSS29" s="28"/>
      <c r="TSU29" s="55"/>
      <c r="TSV29" s="53"/>
      <c r="TSZ29" s="28"/>
      <c r="TTB29" s="55"/>
      <c r="TTC29" s="53"/>
      <c r="TTG29" s="28"/>
      <c r="TTI29" s="55"/>
      <c r="TTJ29" s="53"/>
      <c r="TTN29" s="28"/>
      <c r="TTP29" s="55"/>
      <c r="TTQ29" s="53"/>
      <c r="TTU29" s="28"/>
      <c r="TTW29" s="55"/>
      <c r="TTX29" s="53"/>
      <c r="TUB29" s="28"/>
      <c r="TUD29" s="55"/>
      <c r="TUE29" s="53"/>
      <c r="TUI29" s="28"/>
      <c r="TUK29" s="55"/>
      <c r="TUL29" s="53"/>
      <c r="TUP29" s="28"/>
      <c r="TUR29" s="55"/>
      <c r="TUS29" s="53"/>
      <c r="TUW29" s="28"/>
      <c r="TUY29" s="55"/>
      <c r="TUZ29" s="53"/>
      <c r="TVD29" s="28"/>
      <c r="TVF29" s="55"/>
      <c r="TVG29" s="53"/>
      <c r="TVK29" s="28"/>
      <c r="TVM29" s="55"/>
      <c r="TVN29" s="53"/>
      <c r="TVR29" s="28"/>
      <c r="TVT29" s="55"/>
      <c r="TVU29" s="53"/>
      <c r="TVY29" s="28"/>
      <c r="TWA29" s="55"/>
      <c r="TWB29" s="53"/>
      <c r="TWF29" s="28"/>
      <c r="TWH29" s="55"/>
      <c r="TWI29" s="53"/>
      <c r="TWM29" s="28"/>
      <c r="TWO29" s="55"/>
      <c r="TWP29" s="53"/>
      <c r="TWT29" s="28"/>
      <c r="TWV29" s="55"/>
      <c r="TWW29" s="53"/>
      <c r="TXA29" s="28"/>
      <c r="TXC29" s="55"/>
      <c r="TXD29" s="53"/>
      <c r="TXH29" s="28"/>
      <c r="TXJ29" s="55"/>
      <c r="TXK29" s="53"/>
      <c r="TXO29" s="28"/>
      <c r="TXQ29" s="55"/>
      <c r="TXR29" s="53"/>
      <c r="TXV29" s="28"/>
      <c r="TXX29" s="55"/>
      <c r="TXY29" s="53"/>
      <c r="TYC29" s="28"/>
      <c r="TYE29" s="55"/>
      <c r="TYF29" s="53"/>
      <c r="TYJ29" s="28"/>
      <c r="TYL29" s="55"/>
      <c r="TYM29" s="53"/>
      <c r="TYQ29" s="28"/>
      <c r="TYS29" s="55"/>
      <c r="TYT29" s="53"/>
      <c r="TYX29" s="28"/>
      <c r="TYZ29" s="55"/>
      <c r="TZA29" s="53"/>
      <c r="TZE29" s="28"/>
      <c r="TZG29" s="55"/>
      <c r="TZH29" s="53"/>
      <c r="TZL29" s="28"/>
      <c r="TZN29" s="55"/>
      <c r="TZO29" s="53"/>
      <c r="TZS29" s="28"/>
      <c r="TZU29" s="55"/>
      <c r="TZV29" s="53"/>
      <c r="TZZ29" s="28"/>
      <c r="UAB29" s="55"/>
      <c r="UAC29" s="53"/>
      <c r="UAG29" s="28"/>
      <c r="UAI29" s="55"/>
      <c r="UAJ29" s="53"/>
      <c r="UAN29" s="28"/>
      <c r="UAP29" s="55"/>
      <c r="UAQ29" s="53"/>
      <c r="UAU29" s="28"/>
      <c r="UAW29" s="55"/>
      <c r="UAX29" s="53"/>
      <c r="UBB29" s="28"/>
      <c r="UBD29" s="55"/>
      <c r="UBE29" s="53"/>
      <c r="UBI29" s="28"/>
      <c r="UBK29" s="55"/>
      <c r="UBL29" s="53"/>
      <c r="UBP29" s="28"/>
      <c r="UBR29" s="55"/>
      <c r="UBS29" s="53"/>
      <c r="UBW29" s="28"/>
      <c r="UBY29" s="55"/>
      <c r="UBZ29" s="53"/>
      <c r="UCD29" s="28"/>
      <c r="UCF29" s="55"/>
      <c r="UCG29" s="53"/>
      <c r="UCK29" s="28"/>
      <c r="UCM29" s="55"/>
      <c r="UCN29" s="53"/>
      <c r="UCR29" s="28"/>
      <c r="UCT29" s="55"/>
      <c r="UCU29" s="53"/>
      <c r="UCY29" s="28"/>
      <c r="UDA29" s="55"/>
      <c r="UDB29" s="53"/>
      <c r="UDF29" s="28"/>
      <c r="UDH29" s="55"/>
      <c r="UDI29" s="53"/>
      <c r="UDM29" s="28"/>
      <c r="UDO29" s="55"/>
      <c r="UDP29" s="53"/>
      <c r="UDT29" s="28"/>
      <c r="UDV29" s="55"/>
      <c r="UDW29" s="53"/>
      <c r="UEA29" s="28"/>
      <c r="UEC29" s="55"/>
      <c r="UED29" s="53"/>
      <c r="UEH29" s="28"/>
      <c r="UEJ29" s="55"/>
      <c r="UEK29" s="53"/>
      <c r="UEO29" s="28"/>
      <c r="UEQ29" s="55"/>
      <c r="UER29" s="53"/>
      <c r="UEV29" s="28"/>
      <c r="UEX29" s="55"/>
      <c r="UEY29" s="53"/>
      <c r="UFC29" s="28"/>
      <c r="UFE29" s="55"/>
      <c r="UFF29" s="53"/>
      <c r="UFJ29" s="28"/>
      <c r="UFL29" s="55"/>
      <c r="UFM29" s="53"/>
      <c r="UFQ29" s="28"/>
      <c r="UFS29" s="55"/>
      <c r="UFT29" s="53"/>
      <c r="UFX29" s="28"/>
      <c r="UFZ29" s="55"/>
      <c r="UGA29" s="53"/>
      <c r="UGE29" s="28"/>
      <c r="UGG29" s="55"/>
      <c r="UGH29" s="53"/>
      <c r="UGL29" s="28"/>
      <c r="UGN29" s="55"/>
      <c r="UGO29" s="53"/>
      <c r="UGS29" s="28"/>
      <c r="UGU29" s="55"/>
      <c r="UGV29" s="53"/>
      <c r="UGZ29" s="28"/>
      <c r="UHB29" s="55"/>
      <c r="UHC29" s="53"/>
      <c r="UHG29" s="28"/>
      <c r="UHI29" s="55"/>
      <c r="UHJ29" s="53"/>
      <c r="UHN29" s="28"/>
      <c r="UHP29" s="55"/>
      <c r="UHQ29" s="53"/>
      <c r="UHU29" s="28"/>
      <c r="UHW29" s="55"/>
      <c r="UHX29" s="53"/>
      <c r="UIB29" s="28"/>
      <c r="UID29" s="55"/>
      <c r="UIE29" s="53"/>
      <c r="UII29" s="28"/>
      <c r="UIK29" s="55"/>
      <c r="UIL29" s="53"/>
      <c r="UIP29" s="28"/>
      <c r="UIR29" s="55"/>
      <c r="UIS29" s="53"/>
      <c r="UIW29" s="28"/>
      <c r="UIY29" s="55"/>
      <c r="UIZ29" s="53"/>
      <c r="UJD29" s="28"/>
      <c r="UJF29" s="55"/>
      <c r="UJG29" s="53"/>
      <c r="UJK29" s="28"/>
      <c r="UJM29" s="55"/>
      <c r="UJN29" s="53"/>
      <c r="UJR29" s="28"/>
      <c r="UJT29" s="55"/>
      <c r="UJU29" s="53"/>
      <c r="UJY29" s="28"/>
      <c r="UKA29" s="55"/>
      <c r="UKB29" s="53"/>
      <c r="UKF29" s="28"/>
      <c r="UKH29" s="55"/>
      <c r="UKI29" s="53"/>
      <c r="UKM29" s="28"/>
      <c r="UKO29" s="55"/>
      <c r="UKP29" s="53"/>
      <c r="UKT29" s="28"/>
      <c r="UKV29" s="55"/>
      <c r="UKW29" s="53"/>
      <c r="ULA29" s="28"/>
      <c r="ULC29" s="55"/>
      <c r="ULD29" s="53"/>
      <c r="ULH29" s="28"/>
      <c r="ULJ29" s="55"/>
      <c r="ULK29" s="53"/>
      <c r="ULO29" s="28"/>
      <c r="ULQ29" s="55"/>
      <c r="ULR29" s="53"/>
      <c r="ULV29" s="28"/>
      <c r="ULX29" s="55"/>
      <c r="ULY29" s="53"/>
      <c r="UMC29" s="28"/>
      <c r="UME29" s="55"/>
      <c r="UMF29" s="53"/>
      <c r="UMJ29" s="28"/>
      <c r="UML29" s="55"/>
      <c r="UMM29" s="53"/>
      <c r="UMQ29" s="28"/>
      <c r="UMS29" s="55"/>
      <c r="UMT29" s="53"/>
      <c r="UMX29" s="28"/>
      <c r="UMZ29" s="55"/>
      <c r="UNA29" s="53"/>
      <c r="UNE29" s="28"/>
      <c r="UNG29" s="55"/>
      <c r="UNH29" s="53"/>
      <c r="UNL29" s="28"/>
      <c r="UNN29" s="55"/>
      <c r="UNO29" s="53"/>
      <c r="UNS29" s="28"/>
      <c r="UNU29" s="55"/>
      <c r="UNV29" s="53"/>
      <c r="UNZ29" s="28"/>
      <c r="UOB29" s="55"/>
      <c r="UOC29" s="53"/>
      <c r="UOG29" s="28"/>
      <c r="UOI29" s="55"/>
      <c r="UOJ29" s="53"/>
      <c r="UON29" s="28"/>
      <c r="UOP29" s="55"/>
      <c r="UOQ29" s="53"/>
      <c r="UOU29" s="28"/>
      <c r="UOW29" s="55"/>
      <c r="UOX29" s="53"/>
      <c r="UPB29" s="28"/>
      <c r="UPD29" s="55"/>
      <c r="UPE29" s="53"/>
      <c r="UPI29" s="28"/>
      <c r="UPK29" s="55"/>
      <c r="UPL29" s="53"/>
      <c r="UPP29" s="28"/>
      <c r="UPR29" s="55"/>
      <c r="UPS29" s="53"/>
      <c r="UPW29" s="28"/>
      <c r="UPY29" s="55"/>
      <c r="UPZ29" s="53"/>
      <c r="UQD29" s="28"/>
      <c r="UQF29" s="55"/>
      <c r="UQG29" s="53"/>
      <c r="UQK29" s="28"/>
      <c r="UQM29" s="55"/>
      <c r="UQN29" s="53"/>
      <c r="UQR29" s="28"/>
      <c r="UQT29" s="55"/>
      <c r="UQU29" s="53"/>
      <c r="UQY29" s="28"/>
      <c r="URA29" s="55"/>
      <c r="URB29" s="53"/>
      <c r="URF29" s="28"/>
      <c r="URH29" s="55"/>
      <c r="URI29" s="53"/>
      <c r="URM29" s="28"/>
      <c r="URO29" s="55"/>
      <c r="URP29" s="53"/>
      <c r="URT29" s="28"/>
      <c r="URV29" s="55"/>
      <c r="URW29" s="53"/>
      <c r="USA29" s="28"/>
      <c r="USC29" s="55"/>
      <c r="USD29" s="53"/>
      <c r="USH29" s="28"/>
      <c r="USJ29" s="55"/>
      <c r="USK29" s="53"/>
      <c r="USO29" s="28"/>
      <c r="USQ29" s="55"/>
      <c r="USR29" s="53"/>
      <c r="USV29" s="28"/>
      <c r="USX29" s="55"/>
      <c r="USY29" s="53"/>
      <c r="UTC29" s="28"/>
      <c r="UTE29" s="55"/>
      <c r="UTF29" s="53"/>
      <c r="UTJ29" s="28"/>
      <c r="UTL29" s="55"/>
      <c r="UTM29" s="53"/>
      <c r="UTQ29" s="28"/>
      <c r="UTS29" s="55"/>
      <c r="UTT29" s="53"/>
      <c r="UTX29" s="28"/>
      <c r="UTZ29" s="55"/>
      <c r="UUA29" s="53"/>
      <c r="UUE29" s="28"/>
      <c r="UUG29" s="55"/>
      <c r="UUH29" s="53"/>
      <c r="UUL29" s="28"/>
      <c r="UUN29" s="55"/>
      <c r="UUO29" s="53"/>
      <c r="UUS29" s="28"/>
      <c r="UUU29" s="55"/>
      <c r="UUV29" s="53"/>
      <c r="UUZ29" s="28"/>
      <c r="UVB29" s="55"/>
      <c r="UVC29" s="53"/>
      <c r="UVG29" s="28"/>
      <c r="UVI29" s="55"/>
      <c r="UVJ29" s="53"/>
      <c r="UVN29" s="28"/>
      <c r="UVP29" s="55"/>
      <c r="UVQ29" s="53"/>
      <c r="UVU29" s="28"/>
      <c r="UVW29" s="55"/>
      <c r="UVX29" s="53"/>
      <c r="UWB29" s="28"/>
      <c r="UWD29" s="55"/>
      <c r="UWE29" s="53"/>
      <c r="UWI29" s="28"/>
      <c r="UWK29" s="55"/>
      <c r="UWL29" s="53"/>
      <c r="UWP29" s="28"/>
      <c r="UWR29" s="55"/>
      <c r="UWS29" s="53"/>
      <c r="UWW29" s="28"/>
      <c r="UWY29" s="55"/>
      <c r="UWZ29" s="53"/>
      <c r="UXD29" s="28"/>
      <c r="UXF29" s="55"/>
      <c r="UXG29" s="53"/>
      <c r="UXK29" s="28"/>
      <c r="UXM29" s="55"/>
      <c r="UXN29" s="53"/>
      <c r="UXR29" s="28"/>
      <c r="UXT29" s="55"/>
      <c r="UXU29" s="53"/>
      <c r="UXY29" s="28"/>
      <c r="UYA29" s="55"/>
      <c r="UYB29" s="53"/>
      <c r="UYF29" s="28"/>
      <c r="UYH29" s="55"/>
      <c r="UYI29" s="53"/>
      <c r="UYM29" s="28"/>
      <c r="UYO29" s="55"/>
      <c r="UYP29" s="53"/>
      <c r="UYT29" s="28"/>
      <c r="UYV29" s="55"/>
      <c r="UYW29" s="53"/>
      <c r="UZA29" s="28"/>
      <c r="UZC29" s="55"/>
      <c r="UZD29" s="53"/>
      <c r="UZH29" s="28"/>
      <c r="UZJ29" s="55"/>
      <c r="UZK29" s="53"/>
      <c r="UZO29" s="28"/>
      <c r="UZQ29" s="55"/>
      <c r="UZR29" s="53"/>
      <c r="UZV29" s="28"/>
      <c r="UZX29" s="55"/>
      <c r="UZY29" s="53"/>
      <c r="VAC29" s="28"/>
      <c r="VAE29" s="55"/>
      <c r="VAF29" s="53"/>
      <c r="VAJ29" s="28"/>
      <c r="VAL29" s="55"/>
      <c r="VAM29" s="53"/>
      <c r="VAQ29" s="28"/>
      <c r="VAS29" s="55"/>
      <c r="VAT29" s="53"/>
      <c r="VAX29" s="28"/>
      <c r="VAZ29" s="55"/>
      <c r="VBA29" s="53"/>
      <c r="VBE29" s="28"/>
      <c r="VBG29" s="55"/>
      <c r="VBH29" s="53"/>
      <c r="VBL29" s="28"/>
      <c r="VBN29" s="55"/>
      <c r="VBO29" s="53"/>
      <c r="VBS29" s="28"/>
      <c r="VBU29" s="55"/>
      <c r="VBV29" s="53"/>
      <c r="VBZ29" s="28"/>
      <c r="VCB29" s="55"/>
      <c r="VCC29" s="53"/>
      <c r="VCG29" s="28"/>
      <c r="VCI29" s="55"/>
      <c r="VCJ29" s="53"/>
      <c r="VCN29" s="28"/>
      <c r="VCP29" s="55"/>
      <c r="VCQ29" s="53"/>
      <c r="VCU29" s="28"/>
      <c r="VCW29" s="55"/>
      <c r="VCX29" s="53"/>
      <c r="VDB29" s="28"/>
      <c r="VDD29" s="55"/>
      <c r="VDE29" s="53"/>
      <c r="VDI29" s="28"/>
      <c r="VDK29" s="55"/>
      <c r="VDL29" s="53"/>
      <c r="VDP29" s="28"/>
      <c r="VDR29" s="55"/>
      <c r="VDS29" s="53"/>
      <c r="VDW29" s="28"/>
      <c r="VDY29" s="55"/>
      <c r="VDZ29" s="53"/>
      <c r="VED29" s="28"/>
      <c r="VEF29" s="55"/>
      <c r="VEG29" s="53"/>
      <c r="VEK29" s="28"/>
      <c r="VEM29" s="55"/>
      <c r="VEN29" s="53"/>
      <c r="VER29" s="28"/>
      <c r="VET29" s="55"/>
      <c r="VEU29" s="53"/>
      <c r="VEY29" s="28"/>
      <c r="VFA29" s="55"/>
      <c r="VFB29" s="53"/>
      <c r="VFF29" s="28"/>
      <c r="VFH29" s="55"/>
      <c r="VFI29" s="53"/>
      <c r="VFM29" s="28"/>
      <c r="VFO29" s="55"/>
      <c r="VFP29" s="53"/>
      <c r="VFT29" s="28"/>
      <c r="VFV29" s="55"/>
      <c r="VFW29" s="53"/>
      <c r="VGA29" s="28"/>
      <c r="VGC29" s="55"/>
      <c r="VGD29" s="53"/>
      <c r="VGH29" s="28"/>
      <c r="VGJ29" s="55"/>
      <c r="VGK29" s="53"/>
      <c r="VGO29" s="28"/>
      <c r="VGQ29" s="55"/>
      <c r="VGR29" s="53"/>
      <c r="VGV29" s="28"/>
      <c r="VGX29" s="55"/>
      <c r="VGY29" s="53"/>
      <c r="VHC29" s="28"/>
      <c r="VHE29" s="55"/>
      <c r="VHF29" s="53"/>
      <c r="VHJ29" s="28"/>
      <c r="VHL29" s="55"/>
      <c r="VHM29" s="53"/>
      <c r="VHQ29" s="28"/>
      <c r="VHS29" s="55"/>
      <c r="VHT29" s="53"/>
      <c r="VHX29" s="28"/>
      <c r="VHZ29" s="55"/>
      <c r="VIA29" s="53"/>
      <c r="VIE29" s="28"/>
      <c r="VIG29" s="55"/>
      <c r="VIH29" s="53"/>
      <c r="VIL29" s="28"/>
      <c r="VIN29" s="55"/>
      <c r="VIO29" s="53"/>
      <c r="VIS29" s="28"/>
      <c r="VIU29" s="55"/>
      <c r="VIV29" s="53"/>
      <c r="VIZ29" s="28"/>
      <c r="VJB29" s="55"/>
      <c r="VJC29" s="53"/>
      <c r="VJG29" s="28"/>
      <c r="VJI29" s="55"/>
      <c r="VJJ29" s="53"/>
      <c r="VJN29" s="28"/>
      <c r="VJP29" s="55"/>
      <c r="VJQ29" s="53"/>
      <c r="VJU29" s="28"/>
      <c r="VJW29" s="55"/>
      <c r="VJX29" s="53"/>
      <c r="VKB29" s="28"/>
      <c r="VKD29" s="55"/>
      <c r="VKE29" s="53"/>
      <c r="VKI29" s="28"/>
      <c r="VKK29" s="55"/>
      <c r="VKL29" s="53"/>
      <c r="VKP29" s="28"/>
      <c r="VKR29" s="55"/>
      <c r="VKS29" s="53"/>
      <c r="VKW29" s="28"/>
      <c r="VKY29" s="55"/>
      <c r="VKZ29" s="53"/>
      <c r="VLD29" s="28"/>
      <c r="VLF29" s="55"/>
      <c r="VLG29" s="53"/>
      <c r="VLK29" s="28"/>
      <c r="VLM29" s="55"/>
      <c r="VLN29" s="53"/>
      <c r="VLR29" s="28"/>
      <c r="VLT29" s="55"/>
      <c r="VLU29" s="53"/>
      <c r="VLY29" s="28"/>
      <c r="VMA29" s="55"/>
      <c r="VMB29" s="53"/>
      <c r="VMF29" s="28"/>
      <c r="VMH29" s="55"/>
      <c r="VMI29" s="53"/>
      <c r="VMM29" s="28"/>
      <c r="VMO29" s="55"/>
      <c r="VMP29" s="53"/>
      <c r="VMT29" s="28"/>
      <c r="VMV29" s="55"/>
      <c r="VMW29" s="53"/>
      <c r="VNA29" s="28"/>
      <c r="VNC29" s="55"/>
      <c r="VND29" s="53"/>
      <c r="VNH29" s="28"/>
      <c r="VNJ29" s="55"/>
      <c r="VNK29" s="53"/>
      <c r="VNO29" s="28"/>
      <c r="VNQ29" s="55"/>
      <c r="VNR29" s="53"/>
      <c r="VNV29" s="28"/>
      <c r="VNX29" s="55"/>
      <c r="VNY29" s="53"/>
      <c r="VOC29" s="28"/>
      <c r="VOE29" s="55"/>
      <c r="VOF29" s="53"/>
      <c r="VOJ29" s="28"/>
      <c r="VOL29" s="55"/>
      <c r="VOM29" s="53"/>
      <c r="VOQ29" s="28"/>
      <c r="VOS29" s="55"/>
      <c r="VOT29" s="53"/>
      <c r="VOX29" s="28"/>
      <c r="VOZ29" s="55"/>
      <c r="VPA29" s="53"/>
      <c r="VPE29" s="28"/>
      <c r="VPG29" s="55"/>
      <c r="VPH29" s="53"/>
      <c r="VPL29" s="28"/>
      <c r="VPN29" s="55"/>
      <c r="VPO29" s="53"/>
      <c r="VPS29" s="28"/>
      <c r="VPU29" s="55"/>
      <c r="VPV29" s="53"/>
      <c r="VPZ29" s="28"/>
      <c r="VQB29" s="55"/>
      <c r="VQC29" s="53"/>
      <c r="VQG29" s="28"/>
      <c r="VQI29" s="55"/>
      <c r="VQJ29" s="53"/>
      <c r="VQN29" s="28"/>
      <c r="VQP29" s="55"/>
      <c r="VQQ29" s="53"/>
      <c r="VQU29" s="28"/>
      <c r="VQW29" s="55"/>
      <c r="VQX29" s="53"/>
      <c r="VRB29" s="28"/>
      <c r="VRD29" s="55"/>
      <c r="VRE29" s="53"/>
      <c r="VRI29" s="28"/>
      <c r="VRK29" s="55"/>
      <c r="VRL29" s="53"/>
      <c r="VRP29" s="28"/>
      <c r="VRR29" s="55"/>
      <c r="VRS29" s="53"/>
      <c r="VRW29" s="28"/>
      <c r="VRY29" s="55"/>
      <c r="VRZ29" s="53"/>
      <c r="VSD29" s="28"/>
      <c r="VSF29" s="55"/>
      <c r="VSG29" s="53"/>
      <c r="VSK29" s="28"/>
      <c r="VSM29" s="55"/>
      <c r="VSN29" s="53"/>
      <c r="VSR29" s="28"/>
      <c r="VST29" s="55"/>
      <c r="VSU29" s="53"/>
      <c r="VSY29" s="28"/>
      <c r="VTA29" s="55"/>
      <c r="VTB29" s="53"/>
      <c r="VTF29" s="28"/>
      <c r="VTH29" s="55"/>
      <c r="VTI29" s="53"/>
      <c r="VTM29" s="28"/>
      <c r="VTO29" s="55"/>
      <c r="VTP29" s="53"/>
      <c r="VTT29" s="28"/>
      <c r="VTV29" s="55"/>
      <c r="VTW29" s="53"/>
      <c r="VUA29" s="28"/>
      <c r="VUC29" s="55"/>
      <c r="VUD29" s="53"/>
      <c r="VUH29" s="28"/>
      <c r="VUJ29" s="55"/>
      <c r="VUK29" s="53"/>
      <c r="VUO29" s="28"/>
      <c r="VUQ29" s="55"/>
      <c r="VUR29" s="53"/>
      <c r="VUV29" s="28"/>
      <c r="VUX29" s="55"/>
      <c r="VUY29" s="53"/>
      <c r="VVC29" s="28"/>
      <c r="VVE29" s="55"/>
      <c r="VVF29" s="53"/>
      <c r="VVJ29" s="28"/>
      <c r="VVL29" s="55"/>
      <c r="VVM29" s="53"/>
      <c r="VVQ29" s="28"/>
      <c r="VVS29" s="55"/>
      <c r="VVT29" s="53"/>
      <c r="VVX29" s="28"/>
      <c r="VVZ29" s="55"/>
      <c r="VWA29" s="53"/>
      <c r="VWE29" s="28"/>
      <c r="VWG29" s="55"/>
      <c r="VWH29" s="53"/>
      <c r="VWL29" s="28"/>
      <c r="VWN29" s="55"/>
      <c r="VWO29" s="53"/>
      <c r="VWS29" s="28"/>
      <c r="VWU29" s="55"/>
      <c r="VWV29" s="53"/>
      <c r="VWZ29" s="28"/>
      <c r="VXB29" s="55"/>
      <c r="VXC29" s="53"/>
      <c r="VXG29" s="28"/>
      <c r="VXI29" s="55"/>
      <c r="VXJ29" s="53"/>
      <c r="VXN29" s="28"/>
      <c r="VXP29" s="55"/>
      <c r="VXQ29" s="53"/>
      <c r="VXU29" s="28"/>
      <c r="VXW29" s="55"/>
      <c r="VXX29" s="53"/>
      <c r="VYB29" s="28"/>
      <c r="VYD29" s="55"/>
      <c r="VYE29" s="53"/>
      <c r="VYI29" s="28"/>
      <c r="VYK29" s="55"/>
      <c r="VYL29" s="53"/>
      <c r="VYP29" s="28"/>
      <c r="VYR29" s="55"/>
      <c r="VYS29" s="53"/>
      <c r="VYW29" s="28"/>
      <c r="VYY29" s="55"/>
      <c r="VYZ29" s="53"/>
      <c r="VZD29" s="28"/>
      <c r="VZF29" s="55"/>
      <c r="VZG29" s="53"/>
      <c r="VZK29" s="28"/>
      <c r="VZM29" s="55"/>
      <c r="VZN29" s="53"/>
      <c r="VZR29" s="28"/>
      <c r="VZT29" s="55"/>
      <c r="VZU29" s="53"/>
      <c r="VZY29" s="28"/>
      <c r="WAA29" s="55"/>
      <c r="WAB29" s="53"/>
      <c r="WAF29" s="28"/>
      <c r="WAH29" s="55"/>
      <c r="WAI29" s="53"/>
      <c r="WAM29" s="28"/>
      <c r="WAO29" s="55"/>
      <c r="WAP29" s="53"/>
      <c r="WAT29" s="28"/>
      <c r="WAV29" s="55"/>
      <c r="WAW29" s="53"/>
      <c r="WBA29" s="28"/>
      <c r="WBC29" s="55"/>
      <c r="WBD29" s="53"/>
      <c r="WBH29" s="28"/>
      <c r="WBJ29" s="55"/>
      <c r="WBK29" s="53"/>
      <c r="WBO29" s="28"/>
      <c r="WBQ29" s="55"/>
      <c r="WBR29" s="53"/>
      <c r="WBV29" s="28"/>
      <c r="WBX29" s="55"/>
      <c r="WBY29" s="53"/>
      <c r="WCC29" s="28"/>
      <c r="WCE29" s="55"/>
      <c r="WCF29" s="53"/>
      <c r="WCJ29" s="28"/>
      <c r="WCL29" s="55"/>
      <c r="WCM29" s="53"/>
      <c r="WCQ29" s="28"/>
      <c r="WCS29" s="55"/>
      <c r="WCT29" s="53"/>
      <c r="WCX29" s="28"/>
      <c r="WCZ29" s="55"/>
      <c r="WDA29" s="53"/>
      <c r="WDE29" s="28"/>
      <c r="WDG29" s="55"/>
      <c r="WDH29" s="53"/>
      <c r="WDL29" s="28"/>
      <c r="WDN29" s="55"/>
      <c r="WDO29" s="53"/>
      <c r="WDS29" s="28"/>
      <c r="WDU29" s="55"/>
      <c r="WDV29" s="53"/>
      <c r="WDZ29" s="28"/>
      <c r="WEB29" s="55"/>
      <c r="WEC29" s="53"/>
      <c r="WEG29" s="28"/>
      <c r="WEI29" s="55"/>
      <c r="WEJ29" s="53"/>
      <c r="WEN29" s="28"/>
      <c r="WEP29" s="55"/>
      <c r="WEQ29" s="53"/>
      <c r="WEU29" s="28"/>
      <c r="WEW29" s="55"/>
      <c r="WEX29" s="53"/>
      <c r="WFB29" s="28"/>
      <c r="WFD29" s="55"/>
      <c r="WFE29" s="53"/>
      <c r="WFI29" s="28"/>
      <c r="WFK29" s="55"/>
      <c r="WFL29" s="53"/>
      <c r="WFP29" s="28"/>
      <c r="WFR29" s="55"/>
      <c r="WFS29" s="53"/>
      <c r="WFW29" s="28"/>
      <c r="WFY29" s="55"/>
      <c r="WFZ29" s="53"/>
      <c r="WGD29" s="28"/>
      <c r="WGF29" s="55"/>
      <c r="WGG29" s="53"/>
      <c r="WGK29" s="28"/>
      <c r="WGM29" s="55"/>
      <c r="WGN29" s="53"/>
      <c r="WGR29" s="28"/>
      <c r="WGT29" s="55"/>
      <c r="WGU29" s="53"/>
      <c r="WGY29" s="28"/>
      <c r="WHA29" s="55"/>
      <c r="WHB29" s="53"/>
      <c r="WHF29" s="28"/>
      <c r="WHH29" s="55"/>
      <c r="WHI29" s="53"/>
      <c r="WHM29" s="28"/>
      <c r="WHO29" s="55"/>
      <c r="WHP29" s="53"/>
      <c r="WHT29" s="28"/>
      <c r="WHV29" s="55"/>
      <c r="WHW29" s="53"/>
      <c r="WIA29" s="28"/>
      <c r="WIC29" s="55"/>
      <c r="WID29" s="53"/>
      <c r="WIH29" s="28"/>
      <c r="WIJ29" s="55"/>
      <c r="WIK29" s="53"/>
      <c r="WIO29" s="28"/>
      <c r="WIQ29" s="55"/>
      <c r="WIR29" s="53"/>
      <c r="WIV29" s="28"/>
      <c r="WIX29" s="55"/>
      <c r="WIY29" s="53"/>
      <c r="WJC29" s="28"/>
      <c r="WJE29" s="55"/>
      <c r="WJF29" s="53"/>
      <c r="WJJ29" s="28"/>
      <c r="WJL29" s="55"/>
      <c r="WJM29" s="53"/>
      <c r="WJQ29" s="28"/>
      <c r="WJS29" s="55"/>
      <c r="WJT29" s="53"/>
      <c r="WJX29" s="28"/>
      <c r="WJZ29" s="55"/>
      <c r="WKA29" s="53"/>
      <c r="WKE29" s="28"/>
      <c r="WKG29" s="55"/>
      <c r="WKH29" s="53"/>
      <c r="WKL29" s="28"/>
      <c r="WKN29" s="55"/>
      <c r="WKO29" s="53"/>
      <c r="WKS29" s="28"/>
      <c r="WKU29" s="55"/>
      <c r="WKV29" s="53"/>
      <c r="WKZ29" s="28"/>
      <c r="WLB29" s="55"/>
      <c r="WLC29" s="53"/>
      <c r="WLG29" s="28"/>
      <c r="WLI29" s="55"/>
      <c r="WLJ29" s="53"/>
      <c r="WLN29" s="28"/>
      <c r="WLP29" s="55"/>
      <c r="WLQ29" s="53"/>
      <c r="WLU29" s="28"/>
      <c r="WLW29" s="55"/>
      <c r="WLX29" s="53"/>
      <c r="WMB29" s="28"/>
      <c r="WMD29" s="55"/>
      <c r="WME29" s="53"/>
      <c r="WMI29" s="28"/>
      <c r="WMK29" s="55"/>
      <c r="WML29" s="53"/>
      <c r="WMP29" s="28"/>
      <c r="WMR29" s="55"/>
      <c r="WMS29" s="53"/>
      <c r="WMW29" s="28"/>
      <c r="WMY29" s="55"/>
      <c r="WMZ29" s="53"/>
      <c r="WND29" s="28"/>
      <c r="WNF29" s="55"/>
      <c r="WNG29" s="53"/>
      <c r="WNK29" s="28"/>
      <c r="WNM29" s="55"/>
      <c r="WNN29" s="53"/>
      <c r="WNR29" s="28"/>
      <c r="WNT29" s="55"/>
      <c r="WNU29" s="53"/>
      <c r="WNY29" s="28"/>
      <c r="WOA29" s="55"/>
      <c r="WOB29" s="53"/>
      <c r="WOF29" s="28"/>
      <c r="WOH29" s="55"/>
      <c r="WOI29" s="53"/>
      <c r="WOM29" s="28"/>
      <c r="WOO29" s="55"/>
      <c r="WOP29" s="53"/>
      <c r="WOT29" s="28"/>
      <c r="WOV29" s="55"/>
      <c r="WOW29" s="53"/>
      <c r="WPA29" s="28"/>
      <c r="WPC29" s="55"/>
      <c r="WPD29" s="53"/>
      <c r="WPH29" s="28"/>
      <c r="WPJ29" s="55"/>
      <c r="WPK29" s="53"/>
      <c r="WPO29" s="28"/>
      <c r="WPQ29" s="55"/>
      <c r="WPR29" s="53"/>
      <c r="WPV29" s="28"/>
      <c r="WPX29" s="55"/>
      <c r="WPY29" s="53"/>
      <c r="WQC29" s="28"/>
      <c r="WQE29" s="55"/>
      <c r="WQF29" s="53"/>
      <c r="WQJ29" s="28"/>
      <c r="WQL29" s="55"/>
      <c r="WQM29" s="53"/>
      <c r="WQQ29" s="28"/>
      <c r="WQS29" s="55"/>
      <c r="WQT29" s="53"/>
      <c r="WQX29" s="28"/>
      <c r="WQZ29" s="55"/>
      <c r="WRA29" s="53"/>
      <c r="WRE29" s="28"/>
      <c r="WRG29" s="55"/>
      <c r="WRH29" s="53"/>
      <c r="WRL29" s="28"/>
      <c r="WRN29" s="55"/>
      <c r="WRO29" s="53"/>
      <c r="WRS29" s="28"/>
      <c r="WRU29" s="55"/>
      <c r="WRV29" s="53"/>
      <c r="WRZ29" s="28"/>
      <c r="WSB29" s="55"/>
      <c r="WSC29" s="53"/>
      <c r="WSG29" s="28"/>
      <c r="WSI29" s="55"/>
      <c r="WSJ29" s="53"/>
      <c r="WSN29" s="28"/>
      <c r="WSP29" s="55"/>
      <c r="WSQ29" s="53"/>
      <c r="WSU29" s="28"/>
      <c r="WSW29" s="55"/>
      <c r="WSX29" s="53"/>
      <c r="WTB29" s="28"/>
      <c r="WTD29" s="55"/>
      <c r="WTE29" s="53"/>
      <c r="WTI29" s="28"/>
      <c r="WTK29" s="55"/>
      <c r="WTL29" s="53"/>
      <c r="WTP29" s="28"/>
      <c r="WTR29" s="55"/>
      <c r="WTS29" s="53"/>
      <c r="WTW29" s="28"/>
      <c r="WTY29" s="55"/>
      <c r="WTZ29" s="53"/>
      <c r="WUD29" s="28"/>
      <c r="WUF29" s="55"/>
      <c r="WUG29" s="53"/>
      <c r="WUK29" s="28"/>
      <c r="WUM29" s="55"/>
      <c r="WUN29" s="53"/>
      <c r="WUR29" s="28"/>
      <c r="WUT29" s="55"/>
      <c r="WUU29" s="53"/>
      <c r="WUY29" s="28"/>
      <c r="WVA29" s="55"/>
      <c r="WVB29" s="53"/>
      <c r="WVF29" s="28"/>
      <c r="WVH29" s="55"/>
      <c r="WVI29" s="53"/>
      <c r="WVM29" s="28"/>
      <c r="WVO29" s="55"/>
      <c r="WVP29" s="53"/>
      <c r="WVT29" s="28"/>
      <c r="WVV29" s="55"/>
      <c r="WVW29" s="53"/>
      <c r="WWA29" s="28"/>
      <c r="WWC29" s="55"/>
      <c r="WWD29" s="53"/>
      <c r="WWH29" s="28"/>
      <c r="WWJ29" s="55"/>
      <c r="WWK29" s="53"/>
      <c r="WWO29" s="28"/>
      <c r="WWQ29" s="55"/>
      <c r="WWR29" s="53"/>
      <c r="WWV29" s="28"/>
      <c r="WWX29" s="55"/>
      <c r="WWY29" s="53"/>
      <c r="WXC29" s="28"/>
      <c r="WXE29" s="55"/>
      <c r="WXF29" s="53"/>
      <c r="WXJ29" s="28"/>
      <c r="WXL29" s="55"/>
      <c r="WXM29" s="53"/>
      <c r="WXQ29" s="28"/>
      <c r="WXS29" s="55"/>
      <c r="WXT29" s="53"/>
      <c r="WXX29" s="28"/>
      <c r="WXZ29" s="55"/>
      <c r="WYA29" s="53"/>
      <c r="WYE29" s="28"/>
      <c r="WYG29" s="55"/>
      <c r="WYH29" s="53"/>
      <c r="WYL29" s="28"/>
      <c r="WYN29" s="55"/>
      <c r="WYO29" s="53"/>
      <c r="WYS29" s="28"/>
      <c r="WYU29" s="55"/>
      <c r="WYV29" s="53"/>
      <c r="WYZ29" s="28"/>
      <c r="WZB29" s="55"/>
      <c r="WZC29" s="53"/>
      <c r="WZG29" s="28"/>
      <c r="WZI29" s="55"/>
      <c r="WZJ29" s="53"/>
      <c r="WZN29" s="28"/>
      <c r="WZP29" s="55"/>
      <c r="WZQ29" s="53"/>
      <c r="WZU29" s="28"/>
      <c r="WZW29" s="55"/>
      <c r="WZX29" s="53"/>
      <c r="XAB29" s="28"/>
      <c r="XAD29" s="55"/>
      <c r="XAE29" s="53"/>
      <c r="XAI29" s="28"/>
      <c r="XAK29" s="55"/>
      <c r="XAL29" s="53"/>
      <c r="XAP29" s="28"/>
      <c r="XAR29" s="55"/>
      <c r="XAS29" s="53"/>
      <c r="XAW29" s="28"/>
      <c r="XAY29" s="55"/>
      <c r="XAZ29" s="53"/>
      <c r="XBD29" s="28"/>
      <c r="XBF29" s="55"/>
      <c r="XBG29" s="53"/>
      <c r="XBK29" s="28"/>
      <c r="XBM29" s="55"/>
      <c r="XBN29" s="53"/>
      <c r="XBR29" s="28"/>
      <c r="XBT29" s="55"/>
      <c r="XBU29" s="53"/>
      <c r="XBY29" s="28"/>
      <c r="XCA29" s="55"/>
      <c r="XCB29" s="53"/>
      <c r="XCF29" s="28"/>
      <c r="XCH29" s="55"/>
      <c r="XCI29" s="53"/>
      <c r="XCM29" s="28"/>
      <c r="XCO29" s="55"/>
      <c r="XCP29" s="53"/>
      <c r="XCT29" s="28"/>
      <c r="XCV29" s="55"/>
      <c r="XCW29" s="53"/>
      <c r="XDA29" s="28"/>
      <c r="XDC29" s="55"/>
      <c r="XDD29" s="53"/>
      <c r="XDH29" s="28"/>
      <c r="XDJ29" s="55"/>
      <c r="XDK29" s="53"/>
      <c r="XDO29" s="28"/>
      <c r="XDQ29" s="55"/>
      <c r="XDR29" s="53"/>
      <c r="XDV29" s="28"/>
      <c r="XDX29" s="55"/>
      <c r="XDY29" s="53"/>
      <c r="XEC29" s="28"/>
      <c r="XEE29" s="55"/>
      <c r="XEF29" s="53"/>
      <c r="XEJ29" s="28"/>
      <c r="XEL29" s="55"/>
      <c r="XEM29" s="53"/>
      <c r="XEQ29" s="28"/>
      <c r="XES29" s="55"/>
      <c r="XET29" s="53"/>
      <c r="XEX29" s="28"/>
      <c r="XEZ29" s="55"/>
      <c r="XFA29" s="53"/>
    </row>
    <row r="30" spans="1:1023 1027:2045 2049:3071 3073:4096 4100:5118 5122:6144 6146:8191 8195:9213 9217:10239 10241:11264 11268:12286 12290:13312 13314:15359 15363:16381" s="54" customFormat="1" ht="15" customHeight="1">
      <c r="A30" s="52" t="s">
        <v>237</v>
      </c>
      <c r="B30" s="50" t="s">
        <v>238</v>
      </c>
      <c r="C30" s="50" t="s">
        <v>239</v>
      </c>
      <c r="D30" s="50" t="s">
        <v>168</v>
      </c>
      <c r="E30" s="51">
        <v>17000</v>
      </c>
      <c r="F30" s="50" t="s">
        <v>108</v>
      </c>
      <c r="G30" s="48" t="s">
        <v>240</v>
      </c>
      <c r="H30" s="53"/>
      <c r="L30" s="28"/>
      <c r="N30" s="55"/>
      <c r="O30" s="53"/>
      <c r="S30" s="28"/>
      <c r="U30" s="55"/>
      <c r="V30" s="53"/>
      <c r="Z30" s="28"/>
      <c r="AB30" s="55"/>
      <c r="AC30" s="53"/>
      <c r="AG30" s="28"/>
      <c r="AI30" s="55"/>
      <c r="AJ30" s="53"/>
      <c r="AN30" s="28"/>
      <c r="AP30" s="55"/>
      <c r="AQ30" s="53"/>
      <c r="AU30" s="28"/>
      <c r="AW30" s="55"/>
      <c r="AX30" s="53"/>
      <c r="BB30" s="28"/>
      <c r="BD30" s="55"/>
      <c r="BE30" s="53"/>
      <c r="BI30" s="28"/>
      <c r="BK30" s="55"/>
      <c r="BL30" s="53"/>
      <c r="BP30" s="28"/>
      <c r="BR30" s="55"/>
      <c r="BS30" s="53"/>
      <c r="BW30" s="28"/>
      <c r="BY30" s="55"/>
      <c r="BZ30" s="53"/>
      <c r="CD30" s="28"/>
      <c r="CF30" s="55"/>
      <c r="CG30" s="53"/>
      <c r="CK30" s="28"/>
      <c r="CM30" s="55"/>
      <c r="CN30" s="53"/>
      <c r="CR30" s="28"/>
      <c r="CT30" s="55"/>
      <c r="CU30" s="53"/>
      <c r="CY30" s="28"/>
      <c r="DA30" s="55"/>
      <c r="DB30" s="53"/>
      <c r="DF30" s="28"/>
      <c r="DH30" s="55"/>
      <c r="DI30" s="53"/>
      <c r="DM30" s="28"/>
      <c r="DO30" s="55"/>
      <c r="DP30" s="53"/>
      <c r="DT30" s="28"/>
      <c r="DV30" s="55"/>
      <c r="DW30" s="53"/>
      <c r="EA30" s="28"/>
      <c r="EC30" s="55"/>
      <c r="ED30" s="53"/>
      <c r="EH30" s="28"/>
      <c r="EJ30" s="55"/>
      <c r="EK30" s="53"/>
      <c r="EO30" s="28"/>
      <c r="EQ30" s="55"/>
      <c r="ER30" s="53"/>
      <c r="EV30" s="28"/>
      <c r="EX30" s="55"/>
      <c r="EY30" s="53"/>
      <c r="FC30" s="28"/>
      <c r="FE30" s="55"/>
      <c r="FF30" s="53"/>
      <c r="FJ30" s="28"/>
      <c r="FL30" s="55"/>
      <c r="FM30" s="53"/>
      <c r="FQ30" s="28"/>
      <c r="FS30" s="55"/>
      <c r="FT30" s="53"/>
      <c r="FX30" s="28"/>
      <c r="FZ30" s="55"/>
      <c r="GA30" s="53"/>
      <c r="GE30" s="28"/>
      <c r="GG30" s="55"/>
      <c r="GH30" s="53"/>
      <c r="GL30" s="28"/>
      <c r="GN30" s="55"/>
      <c r="GO30" s="53"/>
      <c r="GS30" s="28"/>
      <c r="GU30" s="55"/>
      <c r="GV30" s="53"/>
      <c r="GZ30" s="28"/>
      <c r="HB30" s="55"/>
      <c r="HC30" s="53"/>
      <c r="HG30" s="28"/>
      <c r="HI30" s="55"/>
      <c r="HJ30" s="53"/>
      <c r="HN30" s="28"/>
      <c r="HP30" s="55"/>
      <c r="HQ30" s="53"/>
      <c r="HU30" s="28"/>
      <c r="HW30" s="55"/>
      <c r="HX30" s="53"/>
      <c r="IB30" s="28"/>
      <c r="ID30" s="55"/>
      <c r="IE30" s="53"/>
      <c r="II30" s="28"/>
      <c r="IK30" s="55"/>
      <c r="IL30" s="53"/>
      <c r="IP30" s="28"/>
      <c r="IR30" s="55"/>
      <c r="IS30" s="53"/>
      <c r="IW30" s="28"/>
      <c r="IY30" s="55"/>
      <c r="IZ30" s="53"/>
      <c r="JD30" s="28"/>
      <c r="JF30" s="55"/>
      <c r="JG30" s="53"/>
      <c r="JK30" s="28"/>
      <c r="JM30" s="55"/>
      <c r="JN30" s="53"/>
      <c r="JR30" s="28"/>
      <c r="JT30" s="55"/>
      <c r="JU30" s="53"/>
      <c r="JY30" s="28"/>
      <c r="KA30" s="55"/>
      <c r="KB30" s="53"/>
      <c r="KF30" s="28"/>
      <c r="KH30" s="55"/>
      <c r="KI30" s="53"/>
      <c r="KM30" s="28"/>
      <c r="KO30" s="55"/>
      <c r="KP30" s="53"/>
      <c r="KT30" s="28"/>
      <c r="KV30" s="55"/>
      <c r="KW30" s="53"/>
      <c r="LA30" s="28"/>
      <c r="LC30" s="55"/>
      <c r="LD30" s="53"/>
      <c r="LH30" s="28"/>
      <c r="LJ30" s="55"/>
      <c r="LK30" s="53"/>
      <c r="LO30" s="28"/>
      <c r="LQ30" s="55"/>
      <c r="LR30" s="53"/>
      <c r="LV30" s="28"/>
      <c r="LX30" s="55"/>
      <c r="LY30" s="53"/>
      <c r="MC30" s="28"/>
      <c r="ME30" s="55"/>
      <c r="MF30" s="53"/>
      <c r="MJ30" s="28"/>
      <c r="ML30" s="55"/>
      <c r="MM30" s="53"/>
      <c r="MQ30" s="28"/>
      <c r="MS30" s="55"/>
      <c r="MT30" s="53"/>
      <c r="MX30" s="28"/>
      <c r="MZ30" s="55"/>
      <c r="NA30" s="53"/>
      <c r="NE30" s="28"/>
      <c r="NG30" s="55"/>
      <c r="NH30" s="53"/>
      <c r="NL30" s="28"/>
      <c r="NN30" s="55"/>
      <c r="NO30" s="53"/>
      <c r="NS30" s="28"/>
      <c r="NU30" s="55"/>
      <c r="NV30" s="53"/>
      <c r="NZ30" s="28"/>
      <c r="OB30" s="55"/>
      <c r="OC30" s="53"/>
      <c r="OG30" s="28"/>
      <c r="OI30" s="55"/>
      <c r="OJ30" s="53"/>
      <c r="ON30" s="28"/>
      <c r="OP30" s="55"/>
      <c r="OQ30" s="53"/>
      <c r="OU30" s="28"/>
      <c r="OW30" s="55"/>
      <c r="OX30" s="53"/>
      <c r="PB30" s="28"/>
      <c r="PD30" s="55"/>
      <c r="PE30" s="53"/>
      <c r="PI30" s="28"/>
      <c r="PK30" s="55"/>
      <c r="PL30" s="53"/>
      <c r="PP30" s="28"/>
      <c r="PR30" s="55"/>
      <c r="PS30" s="53"/>
      <c r="PW30" s="28"/>
      <c r="PY30" s="55"/>
      <c r="PZ30" s="53"/>
      <c r="QD30" s="28"/>
      <c r="QF30" s="55"/>
      <c r="QG30" s="53"/>
      <c r="QK30" s="28"/>
      <c r="QM30" s="55"/>
      <c r="QN30" s="53"/>
      <c r="QR30" s="28"/>
      <c r="QT30" s="55"/>
      <c r="QU30" s="53"/>
      <c r="QY30" s="28"/>
      <c r="RA30" s="55"/>
      <c r="RB30" s="53"/>
      <c r="RF30" s="28"/>
      <c r="RH30" s="55"/>
      <c r="RI30" s="53"/>
      <c r="RM30" s="28"/>
      <c r="RO30" s="55"/>
      <c r="RP30" s="53"/>
      <c r="RT30" s="28"/>
      <c r="RV30" s="55"/>
      <c r="RW30" s="53"/>
      <c r="SA30" s="28"/>
      <c r="SC30" s="55"/>
      <c r="SD30" s="53"/>
      <c r="SH30" s="28"/>
      <c r="SJ30" s="55"/>
      <c r="SK30" s="53"/>
      <c r="SO30" s="28"/>
      <c r="SQ30" s="55"/>
      <c r="SR30" s="53"/>
      <c r="SV30" s="28"/>
      <c r="SX30" s="55"/>
      <c r="SY30" s="53"/>
      <c r="TC30" s="28"/>
      <c r="TE30" s="55"/>
      <c r="TF30" s="53"/>
      <c r="TJ30" s="28"/>
      <c r="TL30" s="55"/>
      <c r="TM30" s="53"/>
      <c r="TQ30" s="28"/>
      <c r="TS30" s="55"/>
      <c r="TT30" s="53"/>
      <c r="TX30" s="28"/>
      <c r="TZ30" s="55"/>
      <c r="UA30" s="53"/>
      <c r="UE30" s="28"/>
      <c r="UG30" s="55"/>
      <c r="UH30" s="53"/>
      <c r="UL30" s="28"/>
      <c r="UN30" s="55"/>
      <c r="UO30" s="53"/>
      <c r="US30" s="28"/>
      <c r="UU30" s="55"/>
      <c r="UV30" s="53"/>
      <c r="UZ30" s="28"/>
      <c r="VB30" s="55"/>
      <c r="VC30" s="53"/>
      <c r="VG30" s="28"/>
      <c r="VI30" s="55"/>
      <c r="VJ30" s="53"/>
      <c r="VN30" s="28"/>
      <c r="VP30" s="55"/>
      <c r="VQ30" s="53"/>
      <c r="VU30" s="28"/>
      <c r="VW30" s="55"/>
      <c r="VX30" s="53"/>
      <c r="WB30" s="28"/>
      <c r="WD30" s="55"/>
      <c r="WE30" s="53"/>
      <c r="WI30" s="28"/>
      <c r="WK30" s="55"/>
      <c r="WL30" s="53"/>
      <c r="WP30" s="28"/>
      <c r="WR30" s="55"/>
      <c r="WS30" s="53"/>
      <c r="WW30" s="28"/>
      <c r="WY30" s="55"/>
      <c r="WZ30" s="53"/>
      <c r="XD30" s="28"/>
      <c r="XF30" s="55"/>
      <c r="XG30" s="53"/>
      <c r="XK30" s="28"/>
      <c r="XM30" s="55"/>
      <c r="XN30" s="53"/>
      <c r="XR30" s="28"/>
      <c r="XT30" s="55"/>
      <c r="XU30" s="53"/>
      <c r="XY30" s="28"/>
      <c r="YA30" s="55"/>
      <c r="YB30" s="53"/>
      <c r="YF30" s="28"/>
      <c r="YH30" s="55"/>
      <c r="YI30" s="53"/>
      <c r="YM30" s="28"/>
      <c r="YO30" s="55"/>
      <c r="YP30" s="53"/>
      <c r="YT30" s="28"/>
      <c r="YV30" s="55"/>
      <c r="YW30" s="53"/>
      <c r="ZA30" s="28"/>
      <c r="ZC30" s="55"/>
      <c r="ZD30" s="53"/>
      <c r="ZH30" s="28"/>
      <c r="ZJ30" s="55"/>
      <c r="ZK30" s="53"/>
      <c r="ZO30" s="28"/>
      <c r="ZQ30" s="55"/>
      <c r="ZR30" s="53"/>
      <c r="ZV30" s="28"/>
      <c r="ZX30" s="55"/>
      <c r="ZY30" s="53"/>
      <c r="AAC30" s="28"/>
      <c r="AAE30" s="55"/>
      <c r="AAF30" s="53"/>
      <c r="AAJ30" s="28"/>
      <c r="AAL30" s="55"/>
      <c r="AAM30" s="53"/>
      <c r="AAQ30" s="28"/>
      <c r="AAS30" s="55"/>
      <c r="AAT30" s="53"/>
      <c r="AAX30" s="28"/>
      <c r="AAZ30" s="55"/>
      <c r="ABA30" s="53"/>
      <c r="ABE30" s="28"/>
      <c r="ABG30" s="55"/>
      <c r="ABH30" s="53"/>
      <c r="ABL30" s="28"/>
      <c r="ABN30" s="55"/>
      <c r="ABO30" s="53"/>
      <c r="ABS30" s="28"/>
      <c r="ABU30" s="55"/>
      <c r="ABV30" s="53"/>
      <c r="ABZ30" s="28"/>
      <c r="ACB30" s="55"/>
      <c r="ACC30" s="53"/>
      <c r="ACG30" s="28"/>
      <c r="ACI30" s="55"/>
      <c r="ACJ30" s="53"/>
      <c r="ACN30" s="28"/>
      <c r="ACP30" s="55"/>
      <c r="ACQ30" s="53"/>
      <c r="ACU30" s="28"/>
      <c r="ACW30" s="55"/>
      <c r="ACX30" s="53"/>
      <c r="ADB30" s="28"/>
      <c r="ADD30" s="55"/>
      <c r="ADE30" s="53"/>
      <c r="ADI30" s="28"/>
      <c r="ADK30" s="55"/>
      <c r="ADL30" s="53"/>
      <c r="ADP30" s="28"/>
      <c r="ADR30" s="55"/>
      <c r="ADS30" s="53"/>
      <c r="ADW30" s="28"/>
      <c r="ADY30" s="55"/>
      <c r="ADZ30" s="53"/>
      <c r="AED30" s="28"/>
      <c r="AEF30" s="55"/>
      <c r="AEG30" s="53"/>
      <c r="AEK30" s="28"/>
      <c r="AEM30" s="55"/>
      <c r="AEN30" s="53"/>
      <c r="AER30" s="28"/>
      <c r="AET30" s="55"/>
      <c r="AEU30" s="53"/>
      <c r="AEY30" s="28"/>
      <c r="AFA30" s="55"/>
      <c r="AFB30" s="53"/>
      <c r="AFF30" s="28"/>
      <c r="AFH30" s="55"/>
      <c r="AFI30" s="53"/>
      <c r="AFM30" s="28"/>
      <c r="AFO30" s="55"/>
      <c r="AFP30" s="53"/>
      <c r="AFT30" s="28"/>
      <c r="AFV30" s="55"/>
      <c r="AFW30" s="53"/>
      <c r="AGA30" s="28"/>
      <c r="AGC30" s="55"/>
      <c r="AGD30" s="53"/>
      <c r="AGH30" s="28"/>
      <c r="AGJ30" s="55"/>
      <c r="AGK30" s="53"/>
      <c r="AGO30" s="28"/>
      <c r="AGQ30" s="55"/>
      <c r="AGR30" s="53"/>
      <c r="AGV30" s="28"/>
      <c r="AGX30" s="55"/>
      <c r="AGY30" s="53"/>
      <c r="AHC30" s="28"/>
      <c r="AHE30" s="55"/>
      <c r="AHF30" s="53"/>
      <c r="AHJ30" s="28"/>
      <c r="AHL30" s="55"/>
      <c r="AHM30" s="53"/>
      <c r="AHQ30" s="28"/>
      <c r="AHS30" s="55"/>
      <c r="AHT30" s="53"/>
      <c r="AHX30" s="28"/>
      <c r="AHZ30" s="55"/>
      <c r="AIA30" s="53"/>
      <c r="AIE30" s="28"/>
      <c r="AIG30" s="55"/>
      <c r="AIH30" s="53"/>
      <c r="AIL30" s="28"/>
      <c r="AIN30" s="55"/>
      <c r="AIO30" s="53"/>
      <c r="AIS30" s="28"/>
      <c r="AIU30" s="55"/>
      <c r="AIV30" s="53"/>
      <c r="AIZ30" s="28"/>
      <c r="AJB30" s="55"/>
      <c r="AJC30" s="53"/>
      <c r="AJG30" s="28"/>
      <c r="AJI30" s="55"/>
      <c r="AJJ30" s="53"/>
      <c r="AJN30" s="28"/>
      <c r="AJP30" s="55"/>
      <c r="AJQ30" s="53"/>
      <c r="AJU30" s="28"/>
      <c r="AJW30" s="55"/>
      <c r="AJX30" s="53"/>
      <c r="AKB30" s="28"/>
      <c r="AKD30" s="55"/>
      <c r="AKE30" s="53"/>
      <c r="AKI30" s="28"/>
      <c r="AKK30" s="55"/>
      <c r="AKL30" s="53"/>
      <c r="AKP30" s="28"/>
      <c r="AKR30" s="55"/>
      <c r="AKS30" s="53"/>
      <c r="AKW30" s="28"/>
      <c r="AKY30" s="55"/>
      <c r="AKZ30" s="53"/>
      <c r="ALD30" s="28"/>
      <c r="ALF30" s="55"/>
      <c r="ALG30" s="53"/>
      <c r="ALK30" s="28"/>
      <c r="ALM30" s="55"/>
      <c r="ALN30" s="53"/>
      <c r="ALR30" s="28"/>
      <c r="ALT30" s="55"/>
      <c r="ALU30" s="53"/>
      <c r="ALY30" s="28"/>
      <c r="AMA30" s="55"/>
      <c r="AMB30" s="53"/>
      <c r="AMF30" s="28"/>
      <c r="AMH30" s="55"/>
      <c r="AMI30" s="53"/>
      <c r="AMM30" s="28"/>
      <c r="AMO30" s="55"/>
      <c r="AMP30" s="53"/>
      <c r="AMT30" s="28"/>
      <c r="AMV30" s="55"/>
      <c r="AMW30" s="53"/>
      <c r="ANA30" s="28"/>
      <c r="ANC30" s="55"/>
      <c r="AND30" s="53"/>
      <c r="ANH30" s="28"/>
      <c r="ANJ30" s="55"/>
      <c r="ANK30" s="53"/>
      <c r="ANO30" s="28"/>
      <c r="ANQ30" s="55"/>
      <c r="ANR30" s="53"/>
      <c r="ANV30" s="28"/>
      <c r="ANX30" s="55"/>
      <c r="ANY30" s="53"/>
      <c r="AOC30" s="28"/>
      <c r="AOE30" s="55"/>
      <c r="AOF30" s="53"/>
      <c r="AOJ30" s="28"/>
      <c r="AOL30" s="55"/>
      <c r="AOM30" s="53"/>
      <c r="AOQ30" s="28"/>
      <c r="AOS30" s="55"/>
      <c r="AOT30" s="53"/>
      <c r="AOX30" s="28"/>
      <c r="AOZ30" s="55"/>
      <c r="APA30" s="53"/>
      <c r="APE30" s="28"/>
      <c r="APG30" s="55"/>
      <c r="APH30" s="53"/>
      <c r="APL30" s="28"/>
      <c r="APN30" s="55"/>
      <c r="APO30" s="53"/>
      <c r="APS30" s="28"/>
      <c r="APU30" s="55"/>
      <c r="APV30" s="53"/>
      <c r="APZ30" s="28"/>
      <c r="AQB30" s="55"/>
      <c r="AQC30" s="53"/>
      <c r="AQG30" s="28"/>
      <c r="AQI30" s="55"/>
      <c r="AQJ30" s="53"/>
      <c r="AQN30" s="28"/>
      <c r="AQP30" s="55"/>
      <c r="AQQ30" s="53"/>
      <c r="AQU30" s="28"/>
      <c r="AQW30" s="55"/>
      <c r="AQX30" s="53"/>
      <c r="ARB30" s="28"/>
      <c r="ARD30" s="55"/>
      <c r="ARE30" s="53"/>
      <c r="ARI30" s="28"/>
      <c r="ARK30" s="55"/>
      <c r="ARL30" s="53"/>
      <c r="ARP30" s="28"/>
      <c r="ARR30" s="55"/>
      <c r="ARS30" s="53"/>
      <c r="ARW30" s="28"/>
      <c r="ARY30" s="55"/>
      <c r="ARZ30" s="53"/>
      <c r="ASD30" s="28"/>
      <c r="ASF30" s="55"/>
      <c r="ASG30" s="53"/>
      <c r="ASK30" s="28"/>
      <c r="ASM30" s="55"/>
      <c r="ASN30" s="53"/>
      <c r="ASR30" s="28"/>
      <c r="AST30" s="55"/>
      <c r="ASU30" s="53"/>
      <c r="ASY30" s="28"/>
      <c r="ATA30" s="55"/>
      <c r="ATB30" s="53"/>
      <c r="ATF30" s="28"/>
      <c r="ATH30" s="55"/>
      <c r="ATI30" s="53"/>
      <c r="ATM30" s="28"/>
      <c r="ATO30" s="55"/>
      <c r="ATP30" s="53"/>
      <c r="ATT30" s="28"/>
      <c r="ATV30" s="55"/>
      <c r="ATW30" s="53"/>
      <c r="AUA30" s="28"/>
      <c r="AUC30" s="55"/>
      <c r="AUD30" s="53"/>
      <c r="AUH30" s="28"/>
      <c r="AUJ30" s="55"/>
      <c r="AUK30" s="53"/>
      <c r="AUO30" s="28"/>
      <c r="AUQ30" s="55"/>
      <c r="AUR30" s="53"/>
      <c r="AUV30" s="28"/>
      <c r="AUX30" s="55"/>
      <c r="AUY30" s="53"/>
      <c r="AVC30" s="28"/>
      <c r="AVE30" s="55"/>
      <c r="AVF30" s="53"/>
      <c r="AVJ30" s="28"/>
      <c r="AVL30" s="55"/>
      <c r="AVM30" s="53"/>
      <c r="AVQ30" s="28"/>
      <c r="AVS30" s="55"/>
      <c r="AVT30" s="53"/>
      <c r="AVX30" s="28"/>
      <c r="AVZ30" s="55"/>
      <c r="AWA30" s="53"/>
      <c r="AWE30" s="28"/>
      <c r="AWG30" s="55"/>
      <c r="AWH30" s="53"/>
      <c r="AWL30" s="28"/>
      <c r="AWN30" s="55"/>
      <c r="AWO30" s="53"/>
      <c r="AWS30" s="28"/>
      <c r="AWU30" s="55"/>
      <c r="AWV30" s="53"/>
      <c r="AWZ30" s="28"/>
      <c r="AXB30" s="55"/>
      <c r="AXC30" s="53"/>
      <c r="AXG30" s="28"/>
      <c r="AXI30" s="55"/>
      <c r="AXJ30" s="53"/>
      <c r="AXN30" s="28"/>
      <c r="AXP30" s="55"/>
      <c r="AXQ30" s="53"/>
      <c r="AXU30" s="28"/>
      <c r="AXW30" s="55"/>
      <c r="AXX30" s="53"/>
      <c r="AYB30" s="28"/>
      <c r="AYD30" s="55"/>
      <c r="AYE30" s="53"/>
      <c r="AYI30" s="28"/>
      <c r="AYK30" s="55"/>
      <c r="AYL30" s="53"/>
      <c r="AYP30" s="28"/>
      <c r="AYR30" s="55"/>
      <c r="AYS30" s="53"/>
      <c r="AYW30" s="28"/>
      <c r="AYY30" s="55"/>
      <c r="AYZ30" s="53"/>
      <c r="AZD30" s="28"/>
      <c r="AZF30" s="55"/>
      <c r="AZG30" s="53"/>
      <c r="AZK30" s="28"/>
      <c r="AZM30" s="55"/>
      <c r="AZN30" s="53"/>
      <c r="AZR30" s="28"/>
      <c r="AZT30" s="55"/>
      <c r="AZU30" s="53"/>
      <c r="AZY30" s="28"/>
      <c r="BAA30" s="55"/>
      <c r="BAB30" s="53"/>
      <c r="BAF30" s="28"/>
      <c r="BAH30" s="55"/>
      <c r="BAI30" s="53"/>
      <c r="BAM30" s="28"/>
      <c r="BAO30" s="55"/>
      <c r="BAP30" s="53"/>
      <c r="BAT30" s="28"/>
      <c r="BAV30" s="55"/>
      <c r="BAW30" s="53"/>
      <c r="BBA30" s="28"/>
      <c r="BBC30" s="55"/>
      <c r="BBD30" s="53"/>
      <c r="BBH30" s="28"/>
      <c r="BBJ30" s="55"/>
      <c r="BBK30" s="53"/>
      <c r="BBO30" s="28"/>
      <c r="BBQ30" s="55"/>
      <c r="BBR30" s="53"/>
      <c r="BBV30" s="28"/>
      <c r="BBX30" s="55"/>
      <c r="BBY30" s="53"/>
      <c r="BCC30" s="28"/>
      <c r="BCE30" s="55"/>
      <c r="BCF30" s="53"/>
      <c r="BCJ30" s="28"/>
      <c r="BCL30" s="55"/>
      <c r="BCM30" s="53"/>
      <c r="BCQ30" s="28"/>
      <c r="BCS30" s="55"/>
      <c r="BCT30" s="53"/>
      <c r="BCX30" s="28"/>
      <c r="BCZ30" s="55"/>
      <c r="BDA30" s="53"/>
      <c r="BDE30" s="28"/>
      <c r="BDG30" s="55"/>
      <c r="BDH30" s="53"/>
      <c r="BDL30" s="28"/>
      <c r="BDN30" s="55"/>
      <c r="BDO30" s="53"/>
      <c r="BDS30" s="28"/>
      <c r="BDU30" s="55"/>
      <c r="BDV30" s="53"/>
      <c r="BDZ30" s="28"/>
      <c r="BEB30" s="55"/>
      <c r="BEC30" s="53"/>
      <c r="BEG30" s="28"/>
      <c r="BEI30" s="55"/>
      <c r="BEJ30" s="53"/>
      <c r="BEN30" s="28"/>
      <c r="BEP30" s="55"/>
      <c r="BEQ30" s="53"/>
      <c r="BEU30" s="28"/>
      <c r="BEW30" s="55"/>
      <c r="BEX30" s="53"/>
      <c r="BFB30" s="28"/>
      <c r="BFD30" s="55"/>
      <c r="BFE30" s="53"/>
      <c r="BFI30" s="28"/>
      <c r="BFK30" s="55"/>
      <c r="BFL30" s="53"/>
      <c r="BFP30" s="28"/>
      <c r="BFR30" s="55"/>
      <c r="BFS30" s="53"/>
      <c r="BFW30" s="28"/>
      <c r="BFY30" s="55"/>
      <c r="BFZ30" s="53"/>
      <c r="BGD30" s="28"/>
      <c r="BGF30" s="55"/>
      <c r="BGG30" s="53"/>
      <c r="BGK30" s="28"/>
      <c r="BGM30" s="55"/>
      <c r="BGN30" s="53"/>
      <c r="BGR30" s="28"/>
      <c r="BGT30" s="55"/>
      <c r="BGU30" s="53"/>
      <c r="BGY30" s="28"/>
      <c r="BHA30" s="55"/>
      <c r="BHB30" s="53"/>
      <c r="BHF30" s="28"/>
      <c r="BHH30" s="55"/>
      <c r="BHI30" s="53"/>
      <c r="BHM30" s="28"/>
      <c r="BHO30" s="55"/>
      <c r="BHP30" s="53"/>
      <c r="BHT30" s="28"/>
      <c r="BHV30" s="55"/>
      <c r="BHW30" s="53"/>
      <c r="BIA30" s="28"/>
      <c r="BIC30" s="55"/>
      <c r="BID30" s="53"/>
      <c r="BIH30" s="28"/>
      <c r="BIJ30" s="55"/>
      <c r="BIK30" s="53"/>
      <c r="BIO30" s="28"/>
      <c r="BIQ30" s="55"/>
      <c r="BIR30" s="53"/>
      <c r="BIV30" s="28"/>
      <c r="BIX30" s="55"/>
      <c r="BIY30" s="53"/>
      <c r="BJC30" s="28"/>
      <c r="BJE30" s="55"/>
      <c r="BJF30" s="53"/>
      <c r="BJJ30" s="28"/>
      <c r="BJL30" s="55"/>
      <c r="BJM30" s="53"/>
      <c r="BJQ30" s="28"/>
      <c r="BJS30" s="55"/>
      <c r="BJT30" s="53"/>
      <c r="BJX30" s="28"/>
      <c r="BJZ30" s="55"/>
      <c r="BKA30" s="53"/>
      <c r="BKE30" s="28"/>
      <c r="BKG30" s="55"/>
      <c r="BKH30" s="53"/>
      <c r="BKL30" s="28"/>
      <c r="BKN30" s="55"/>
      <c r="BKO30" s="53"/>
      <c r="BKS30" s="28"/>
      <c r="BKU30" s="55"/>
      <c r="BKV30" s="53"/>
      <c r="BKZ30" s="28"/>
      <c r="BLB30" s="55"/>
      <c r="BLC30" s="53"/>
      <c r="BLG30" s="28"/>
      <c r="BLI30" s="55"/>
      <c r="BLJ30" s="53"/>
      <c r="BLN30" s="28"/>
      <c r="BLP30" s="55"/>
      <c r="BLQ30" s="53"/>
      <c r="BLU30" s="28"/>
      <c r="BLW30" s="55"/>
      <c r="BLX30" s="53"/>
      <c r="BMB30" s="28"/>
      <c r="BMD30" s="55"/>
      <c r="BME30" s="53"/>
      <c r="BMI30" s="28"/>
      <c r="BMK30" s="55"/>
      <c r="BML30" s="53"/>
      <c r="BMP30" s="28"/>
      <c r="BMR30" s="55"/>
      <c r="BMS30" s="53"/>
      <c r="BMW30" s="28"/>
      <c r="BMY30" s="55"/>
      <c r="BMZ30" s="53"/>
      <c r="BND30" s="28"/>
      <c r="BNF30" s="55"/>
      <c r="BNG30" s="53"/>
      <c r="BNK30" s="28"/>
      <c r="BNM30" s="55"/>
      <c r="BNN30" s="53"/>
      <c r="BNR30" s="28"/>
      <c r="BNT30" s="55"/>
      <c r="BNU30" s="53"/>
      <c r="BNY30" s="28"/>
      <c r="BOA30" s="55"/>
      <c r="BOB30" s="53"/>
      <c r="BOF30" s="28"/>
      <c r="BOH30" s="55"/>
      <c r="BOI30" s="53"/>
      <c r="BOM30" s="28"/>
      <c r="BOO30" s="55"/>
      <c r="BOP30" s="53"/>
      <c r="BOT30" s="28"/>
      <c r="BOV30" s="55"/>
      <c r="BOW30" s="53"/>
      <c r="BPA30" s="28"/>
      <c r="BPC30" s="55"/>
      <c r="BPD30" s="53"/>
      <c r="BPH30" s="28"/>
      <c r="BPJ30" s="55"/>
      <c r="BPK30" s="53"/>
      <c r="BPO30" s="28"/>
      <c r="BPQ30" s="55"/>
      <c r="BPR30" s="53"/>
      <c r="BPV30" s="28"/>
      <c r="BPX30" s="55"/>
      <c r="BPY30" s="53"/>
      <c r="BQC30" s="28"/>
      <c r="BQE30" s="55"/>
      <c r="BQF30" s="53"/>
      <c r="BQJ30" s="28"/>
      <c r="BQL30" s="55"/>
      <c r="BQM30" s="53"/>
      <c r="BQQ30" s="28"/>
      <c r="BQS30" s="55"/>
      <c r="BQT30" s="53"/>
      <c r="BQX30" s="28"/>
      <c r="BQZ30" s="55"/>
      <c r="BRA30" s="53"/>
      <c r="BRE30" s="28"/>
      <c r="BRG30" s="55"/>
      <c r="BRH30" s="53"/>
      <c r="BRL30" s="28"/>
      <c r="BRN30" s="55"/>
      <c r="BRO30" s="53"/>
      <c r="BRS30" s="28"/>
      <c r="BRU30" s="55"/>
      <c r="BRV30" s="53"/>
      <c r="BRZ30" s="28"/>
      <c r="BSB30" s="55"/>
      <c r="BSC30" s="53"/>
      <c r="BSG30" s="28"/>
      <c r="BSI30" s="55"/>
      <c r="BSJ30" s="53"/>
      <c r="BSN30" s="28"/>
      <c r="BSP30" s="55"/>
      <c r="BSQ30" s="53"/>
      <c r="BSU30" s="28"/>
      <c r="BSW30" s="55"/>
      <c r="BSX30" s="53"/>
      <c r="BTB30" s="28"/>
      <c r="BTD30" s="55"/>
      <c r="BTE30" s="53"/>
      <c r="BTI30" s="28"/>
      <c r="BTK30" s="55"/>
      <c r="BTL30" s="53"/>
      <c r="BTP30" s="28"/>
      <c r="BTR30" s="55"/>
      <c r="BTS30" s="53"/>
      <c r="BTW30" s="28"/>
      <c r="BTY30" s="55"/>
      <c r="BTZ30" s="53"/>
      <c r="BUD30" s="28"/>
      <c r="BUF30" s="55"/>
      <c r="BUG30" s="53"/>
      <c r="BUK30" s="28"/>
      <c r="BUM30" s="55"/>
      <c r="BUN30" s="53"/>
      <c r="BUR30" s="28"/>
      <c r="BUT30" s="55"/>
      <c r="BUU30" s="53"/>
      <c r="BUY30" s="28"/>
      <c r="BVA30" s="55"/>
      <c r="BVB30" s="53"/>
      <c r="BVF30" s="28"/>
      <c r="BVH30" s="55"/>
      <c r="BVI30" s="53"/>
      <c r="BVM30" s="28"/>
      <c r="BVO30" s="55"/>
      <c r="BVP30" s="53"/>
      <c r="BVT30" s="28"/>
      <c r="BVV30" s="55"/>
      <c r="BVW30" s="53"/>
      <c r="BWA30" s="28"/>
      <c r="BWC30" s="55"/>
      <c r="BWD30" s="53"/>
      <c r="BWH30" s="28"/>
      <c r="BWJ30" s="55"/>
      <c r="BWK30" s="53"/>
      <c r="BWO30" s="28"/>
      <c r="BWQ30" s="55"/>
      <c r="BWR30" s="53"/>
      <c r="BWV30" s="28"/>
      <c r="BWX30" s="55"/>
      <c r="BWY30" s="53"/>
      <c r="BXC30" s="28"/>
      <c r="BXE30" s="55"/>
      <c r="BXF30" s="53"/>
      <c r="BXJ30" s="28"/>
      <c r="BXL30" s="55"/>
      <c r="BXM30" s="53"/>
      <c r="BXQ30" s="28"/>
      <c r="BXS30" s="55"/>
      <c r="BXT30" s="53"/>
      <c r="BXX30" s="28"/>
      <c r="BXZ30" s="55"/>
      <c r="BYA30" s="53"/>
      <c r="BYE30" s="28"/>
      <c r="BYG30" s="55"/>
      <c r="BYH30" s="53"/>
      <c r="BYL30" s="28"/>
      <c r="BYN30" s="55"/>
      <c r="BYO30" s="53"/>
      <c r="BYS30" s="28"/>
      <c r="BYU30" s="55"/>
      <c r="BYV30" s="53"/>
      <c r="BYZ30" s="28"/>
      <c r="BZB30" s="55"/>
      <c r="BZC30" s="53"/>
      <c r="BZG30" s="28"/>
      <c r="BZI30" s="55"/>
      <c r="BZJ30" s="53"/>
      <c r="BZN30" s="28"/>
      <c r="BZP30" s="55"/>
      <c r="BZQ30" s="53"/>
      <c r="BZU30" s="28"/>
      <c r="BZW30" s="55"/>
      <c r="BZX30" s="53"/>
      <c r="CAB30" s="28"/>
      <c r="CAD30" s="55"/>
      <c r="CAE30" s="53"/>
      <c r="CAI30" s="28"/>
      <c r="CAK30" s="55"/>
      <c r="CAL30" s="53"/>
      <c r="CAP30" s="28"/>
      <c r="CAR30" s="55"/>
      <c r="CAS30" s="53"/>
      <c r="CAW30" s="28"/>
      <c r="CAY30" s="55"/>
      <c r="CAZ30" s="53"/>
      <c r="CBD30" s="28"/>
      <c r="CBF30" s="55"/>
      <c r="CBG30" s="53"/>
      <c r="CBK30" s="28"/>
      <c r="CBM30" s="55"/>
      <c r="CBN30" s="53"/>
      <c r="CBR30" s="28"/>
      <c r="CBT30" s="55"/>
      <c r="CBU30" s="53"/>
      <c r="CBY30" s="28"/>
      <c r="CCA30" s="55"/>
      <c r="CCB30" s="53"/>
      <c r="CCF30" s="28"/>
      <c r="CCH30" s="55"/>
      <c r="CCI30" s="53"/>
      <c r="CCM30" s="28"/>
      <c r="CCO30" s="55"/>
      <c r="CCP30" s="53"/>
      <c r="CCT30" s="28"/>
      <c r="CCV30" s="55"/>
      <c r="CCW30" s="53"/>
      <c r="CDA30" s="28"/>
      <c r="CDC30" s="55"/>
      <c r="CDD30" s="53"/>
      <c r="CDH30" s="28"/>
      <c r="CDJ30" s="55"/>
      <c r="CDK30" s="53"/>
      <c r="CDO30" s="28"/>
      <c r="CDQ30" s="55"/>
      <c r="CDR30" s="53"/>
      <c r="CDV30" s="28"/>
      <c r="CDX30" s="55"/>
      <c r="CDY30" s="53"/>
      <c r="CEC30" s="28"/>
      <c r="CEE30" s="55"/>
      <c r="CEF30" s="53"/>
      <c r="CEJ30" s="28"/>
      <c r="CEL30" s="55"/>
      <c r="CEM30" s="53"/>
      <c r="CEQ30" s="28"/>
      <c r="CES30" s="55"/>
      <c r="CET30" s="53"/>
      <c r="CEX30" s="28"/>
      <c r="CEZ30" s="55"/>
      <c r="CFA30" s="53"/>
      <c r="CFE30" s="28"/>
      <c r="CFG30" s="55"/>
      <c r="CFH30" s="53"/>
      <c r="CFL30" s="28"/>
      <c r="CFN30" s="55"/>
      <c r="CFO30" s="53"/>
      <c r="CFS30" s="28"/>
      <c r="CFU30" s="55"/>
      <c r="CFV30" s="53"/>
      <c r="CFZ30" s="28"/>
      <c r="CGB30" s="55"/>
      <c r="CGC30" s="53"/>
      <c r="CGG30" s="28"/>
      <c r="CGI30" s="55"/>
      <c r="CGJ30" s="53"/>
      <c r="CGN30" s="28"/>
      <c r="CGP30" s="55"/>
      <c r="CGQ30" s="53"/>
      <c r="CGU30" s="28"/>
      <c r="CGW30" s="55"/>
      <c r="CGX30" s="53"/>
      <c r="CHB30" s="28"/>
      <c r="CHD30" s="55"/>
      <c r="CHE30" s="53"/>
      <c r="CHI30" s="28"/>
      <c r="CHK30" s="55"/>
      <c r="CHL30" s="53"/>
      <c r="CHP30" s="28"/>
      <c r="CHR30" s="55"/>
      <c r="CHS30" s="53"/>
      <c r="CHW30" s="28"/>
      <c r="CHY30" s="55"/>
      <c r="CHZ30" s="53"/>
      <c r="CID30" s="28"/>
      <c r="CIF30" s="55"/>
      <c r="CIG30" s="53"/>
      <c r="CIK30" s="28"/>
      <c r="CIM30" s="55"/>
      <c r="CIN30" s="53"/>
      <c r="CIR30" s="28"/>
      <c r="CIT30" s="55"/>
      <c r="CIU30" s="53"/>
      <c r="CIY30" s="28"/>
      <c r="CJA30" s="55"/>
      <c r="CJB30" s="53"/>
      <c r="CJF30" s="28"/>
      <c r="CJH30" s="55"/>
      <c r="CJI30" s="53"/>
      <c r="CJM30" s="28"/>
      <c r="CJO30" s="55"/>
      <c r="CJP30" s="53"/>
      <c r="CJT30" s="28"/>
      <c r="CJV30" s="55"/>
      <c r="CJW30" s="53"/>
      <c r="CKA30" s="28"/>
      <c r="CKC30" s="55"/>
      <c r="CKD30" s="53"/>
      <c r="CKH30" s="28"/>
      <c r="CKJ30" s="55"/>
      <c r="CKK30" s="53"/>
      <c r="CKO30" s="28"/>
      <c r="CKQ30" s="55"/>
      <c r="CKR30" s="53"/>
      <c r="CKV30" s="28"/>
      <c r="CKX30" s="55"/>
      <c r="CKY30" s="53"/>
      <c r="CLC30" s="28"/>
      <c r="CLE30" s="55"/>
      <c r="CLF30" s="53"/>
      <c r="CLJ30" s="28"/>
      <c r="CLL30" s="55"/>
      <c r="CLM30" s="53"/>
      <c r="CLQ30" s="28"/>
      <c r="CLS30" s="55"/>
      <c r="CLT30" s="53"/>
      <c r="CLX30" s="28"/>
      <c r="CLZ30" s="55"/>
      <c r="CMA30" s="53"/>
      <c r="CME30" s="28"/>
      <c r="CMG30" s="55"/>
      <c r="CMH30" s="53"/>
      <c r="CML30" s="28"/>
      <c r="CMN30" s="55"/>
      <c r="CMO30" s="53"/>
      <c r="CMS30" s="28"/>
      <c r="CMU30" s="55"/>
      <c r="CMV30" s="53"/>
      <c r="CMZ30" s="28"/>
      <c r="CNB30" s="55"/>
      <c r="CNC30" s="53"/>
      <c r="CNG30" s="28"/>
      <c r="CNI30" s="55"/>
      <c r="CNJ30" s="53"/>
      <c r="CNN30" s="28"/>
      <c r="CNP30" s="55"/>
      <c r="CNQ30" s="53"/>
      <c r="CNU30" s="28"/>
      <c r="CNW30" s="55"/>
      <c r="CNX30" s="53"/>
      <c r="COB30" s="28"/>
      <c r="COD30" s="55"/>
      <c r="COE30" s="53"/>
      <c r="COI30" s="28"/>
      <c r="COK30" s="55"/>
      <c r="COL30" s="53"/>
      <c r="COP30" s="28"/>
      <c r="COR30" s="55"/>
      <c r="COS30" s="53"/>
      <c r="COW30" s="28"/>
      <c r="COY30" s="55"/>
      <c r="COZ30" s="53"/>
      <c r="CPD30" s="28"/>
      <c r="CPF30" s="55"/>
      <c r="CPG30" s="53"/>
      <c r="CPK30" s="28"/>
      <c r="CPM30" s="55"/>
      <c r="CPN30" s="53"/>
      <c r="CPR30" s="28"/>
      <c r="CPT30" s="55"/>
      <c r="CPU30" s="53"/>
      <c r="CPY30" s="28"/>
      <c r="CQA30" s="55"/>
      <c r="CQB30" s="53"/>
      <c r="CQF30" s="28"/>
      <c r="CQH30" s="55"/>
      <c r="CQI30" s="53"/>
      <c r="CQM30" s="28"/>
      <c r="CQO30" s="55"/>
      <c r="CQP30" s="53"/>
      <c r="CQT30" s="28"/>
      <c r="CQV30" s="55"/>
      <c r="CQW30" s="53"/>
      <c r="CRA30" s="28"/>
      <c r="CRC30" s="55"/>
      <c r="CRD30" s="53"/>
      <c r="CRH30" s="28"/>
      <c r="CRJ30" s="55"/>
      <c r="CRK30" s="53"/>
      <c r="CRO30" s="28"/>
      <c r="CRQ30" s="55"/>
      <c r="CRR30" s="53"/>
      <c r="CRV30" s="28"/>
      <c r="CRX30" s="55"/>
      <c r="CRY30" s="53"/>
      <c r="CSC30" s="28"/>
      <c r="CSE30" s="55"/>
      <c r="CSF30" s="53"/>
      <c r="CSJ30" s="28"/>
      <c r="CSL30" s="55"/>
      <c r="CSM30" s="53"/>
      <c r="CSQ30" s="28"/>
      <c r="CSS30" s="55"/>
      <c r="CST30" s="53"/>
      <c r="CSX30" s="28"/>
      <c r="CSZ30" s="55"/>
      <c r="CTA30" s="53"/>
      <c r="CTE30" s="28"/>
      <c r="CTG30" s="55"/>
      <c r="CTH30" s="53"/>
      <c r="CTL30" s="28"/>
      <c r="CTN30" s="55"/>
      <c r="CTO30" s="53"/>
      <c r="CTS30" s="28"/>
      <c r="CTU30" s="55"/>
      <c r="CTV30" s="53"/>
      <c r="CTZ30" s="28"/>
      <c r="CUB30" s="55"/>
      <c r="CUC30" s="53"/>
      <c r="CUG30" s="28"/>
      <c r="CUI30" s="55"/>
      <c r="CUJ30" s="53"/>
      <c r="CUN30" s="28"/>
      <c r="CUP30" s="55"/>
      <c r="CUQ30" s="53"/>
      <c r="CUU30" s="28"/>
      <c r="CUW30" s="55"/>
      <c r="CUX30" s="53"/>
      <c r="CVB30" s="28"/>
      <c r="CVD30" s="55"/>
      <c r="CVE30" s="53"/>
      <c r="CVI30" s="28"/>
      <c r="CVK30" s="55"/>
      <c r="CVL30" s="53"/>
      <c r="CVP30" s="28"/>
      <c r="CVR30" s="55"/>
      <c r="CVS30" s="53"/>
      <c r="CVW30" s="28"/>
      <c r="CVY30" s="55"/>
      <c r="CVZ30" s="53"/>
      <c r="CWD30" s="28"/>
      <c r="CWF30" s="55"/>
      <c r="CWG30" s="53"/>
      <c r="CWK30" s="28"/>
      <c r="CWM30" s="55"/>
      <c r="CWN30" s="53"/>
      <c r="CWR30" s="28"/>
      <c r="CWT30" s="55"/>
      <c r="CWU30" s="53"/>
      <c r="CWY30" s="28"/>
      <c r="CXA30" s="55"/>
      <c r="CXB30" s="53"/>
      <c r="CXF30" s="28"/>
      <c r="CXH30" s="55"/>
      <c r="CXI30" s="53"/>
      <c r="CXM30" s="28"/>
      <c r="CXO30" s="55"/>
      <c r="CXP30" s="53"/>
      <c r="CXT30" s="28"/>
      <c r="CXV30" s="55"/>
      <c r="CXW30" s="53"/>
      <c r="CYA30" s="28"/>
      <c r="CYC30" s="55"/>
      <c r="CYD30" s="53"/>
      <c r="CYH30" s="28"/>
      <c r="CYJ30" s="55"/>
      <c r="CYK30" s="53"/>
      <c r="CYO30" s="28"/>
      <c r="CYQ30" s="55"/>
      <c r="CYR30" s="53"/>
      <c r="CYV30" s="28"/>
      <c r="CYX30" s="55"/>
      <c r="CYY30" s="53"/>
      <c r="CZC30" s="28"/>
      <c r="CZE30" s="55"/>
      <c r="CZF30" s="53"/>
      <c r="CZJ30" s="28"/>
      <c r="CZL30" s="55"/>
      <c r="CZM30" s="53"/>
      <c r="CZQ30" s="28"/>
      <c r="CZS30" s="55"/>
      <c r="CZT30" s="53"/>
      <c r="CZX30" s="28"/>
      <c r="CZZ30" s="55"/>
      <c r="DAA30" s="53"/>
      <c r="DAE30" s="28"/>
      <c r="DAG30" s="55"/>
      <c r="DAH30" s="53"/>
      <c r="DAL30" s="28"/>
      <c r="DAN30" s="55"/>
      <c r="DAO30" s="53"/>
      <c r="DAS30" s="28"/>
      <c r="DAU30" s="55"/>
      <c r="DAV30" s="53"/>
      <c r="DAZ30" s="28"/>
      <c r="DBB30" s="55"/>
      <c r="DBC30" s="53"/>
      <c r="DBG30" s="28"/>
      <c r="DBI30" s="55"/>
      <c r="DBJ30" s="53"/>
      <c r="DBN30" s="28"/>
      <c r="DBP30" s="55"/>
      <c r="DBQ30" s="53"/>
      <c r="DBU30" s="28"/>
      <c r="DBW30" s="55"/>
      <c r="DBX30" s="53"/>
      <c r="DCB30" s="28"/>
      <c r="DCD30" s="55"/>
      <c r="DCE30" s="53"/>
      <c r="DCI30" s="28"/>
      <c r="DCK30" s="55"/>
      <c r="DCL30" s="53"/>
      <c r="DCP30" s="28"/>
      <c r="DCR30" s="55"/>
      <c r="DCS30" s="53"/>
      <c r="DCW30" s="28"/>
      <c r="DCY30" s="55"/>
      <c r="DCZ30" s="53"/>
      <c r="DDD30" s="28"/>
      <c r="DDF30" s="55"/>
      <c r="DDG30" s="53"/>
      <c r="DDK30" s="28"/>
      <c r="DDM30" s="55"/>
      <c r="DDN30" s="53"/>
      <c r="DDR30" s="28"/>
      <c r="DDT30" s="55"/>
      <c r="DDU30" s="53"/>
      <c r="DDY30" s="28"/>
      <c r="DEA30" s="55"/>
      <c r="DEB30" s="53"/>
      <c r="DEF30" s="28"/>
      <c r="DEH30" s="55"/>
      <c r="DEI30" s="53"/>
      <c r="DEM30" s="28"/>
      <c r="DEO30" s="55"/>
      <c r="DEP30" s="53"/>
      <c r="DET30" s="28"/>
      <c r="DEV30" s="55"/>
      <c r="DEW30" s="53"/>
      <c r="DFA30" s="28"/>
      <c r="DFC30" s="55"/>
      <c r="DFD30" s="53"/>
      <c r="DFH30" s="28"/>
      <c r="DFJ30" s="55"/>
      <c r="DFK30" s="53"/>
      <c r="DFO30" s="28"/>
      <c r="DFQ30" s="55"/>
      <c r="DFR30" s="53"/>
      <c r="DFV30" s="28"/>
      <c r="DFX30" s="55"/>
      <c r="DFY30" s="53"/>
      <c r="DGC30" s="28"/>
      <c r="DGE30" s="55"/>
      <c r="DGF30" s="53"/>
      <c r="DGJ30" s="28"/>
      <c r="DGL30" s="55"/>
      <c r="DGM30" s="53"/>
      <c r="DGQ30" s="28"/>
      <c r="DGS30" s="55"/>
      <c r="DGT30" s="53"/>
      <c r="DGX30" s="28"/>
      <c r="DGZ30" s="55"/>
      <c r="DHA30" s="53"/>
      <c r="DHE30" s="28"/>
      <c r="DHG30" s="55"/>
      <c r="DHH30" s="53"/>
      <c r="DHL30" s="28"/>
      <c r="DHN30" s="55"/>
      <c r="DHO30" s="53"/>
      <c r="DHS30" s="28"/>
      <c r="DHU30" s="55"/>
      <c r="DHV30" s="53"/>
      <c r="DHZ30" s="28"/>
      <c r="DIB30" s="55"/>
      <c r="DIC30" s="53"/>
      <c r="DIG30" s="28"/>
      <c r="DII30" s="55"/>
      <c r="DIJ30" s="53"/>
      <c r="DIN30" s="28"/>
      <c r="DIP30" s="55"/>
      <c r="DIQ30" s="53"/>
      <c r="DIU30" s="28"/>
      <c r="DIW30" s="55"/>
      <c r="DIX30" s="53"/>
      <c r="DJB30" s="28"/>
      <c r="DJD30" s="55"/>
      <c r="DJE30" s="53"/>
      <c r="DJI30" s="28"/>
      <c r="DJK30" s="55"/>
      <c r="DJL30" s="53"/>
      <c r="DJP30" s="28"/>
      <c r="DJR30" s="55"/>
      <c r="DJS30" s="53"/>
      <c r="DJW30" s="28"/>
      <c r="DJY30" s="55"/>
      <c r="DJZ30" s="53"/>
      <c r="DKD30" s="28"/>
      <c r="DKF30" s="55"/>
      <c r="DKG30" s="53"/>
      <c r="DKK30" s="28"/>
      <c r="DKM30" s="55"/>
      <c r="DKN30" s="53"/>
      <c r="DKR30" s="28"/>
      <c r="DKT30" s="55"/>
      <c r="DKU30" s="53"/>
      <c r="DKY30" s="28"/>
      <c r="DLA30" s="55"/>
      <c r="DLB30" s="53"/>
      <c r="DLF30" s="28"/>
      <c r="DLH30" s="55"/>
      <c r="DLI30" s="53"/>
      <c r="DLM30" s="28"/>
      <c r="DLO30" s="55"/>
      <c r="DLP30" s="53"/>
      <c r="DLT30" s="28"/>
      <c r="DLV30" s="55"/>
      <c r="DLW30" s="53"/>
      <c r="DMA30" s="28"/>
      <c r="DMC30" s="55"/>
      <c r="DMD30" s="53"/>
      <c r="DMH30" s="28"/>
      <c r="DMJ30" s="55"/>
      <c r="DMK30" s="53"/>
      <c r="DMO30" s="28"/>
      <c r="DMQ30" s="55"/>
      <c r="DMR30" s="53"/>
      <c r="DMV30" s="28"/>
      <c r="DMX30" s="55"/>
      <c r="DMY30" s="53"/>
      <c r="DNC30" s="28"/>
      <c r="DNE30" s="55"/>
      <c r="DNF30" s="53"/>
      <c r="DNJ30" s="28"/>
      <c r="DNL30" s="55"/>
      <c r="DNM30" s="53"/>
      <c r="DNQ30" s="28"/>
      <c r="DNS30" s="55"/>
      <c r="DNT30" s="53"/>
      <c r="DNX30" s="28"/>
      <c r="DNZ30" s="55"/>
      <c r="DOA30" s="53"/>
      <c r="DOE30" s="28"/>
      <c r="DOG30" s="55"/>
      <c r="DOH30" s="53"/>
      <c r="DOL30" s="28"/>
      <c r="DON30" s="55"/>
      <c r="DOO30" s="53"/>
      <c r="DOS30" s="28"/>
      <c r="DOU30" s="55"/>
      <c r="DOV30" s="53"/>
      <c r="DOZ30" s="28"/>
      <c r="DPB30" s="55"/>
      <c r="DPC30" s="53"/>
      <c r="DPG30" s="28"/>
      <c r="DPI30" s="55"/>
      <c r="DPJ30" s="53"/>
      <c r="DPN30" s="28"/>
      <c r="DPP30" s="55"/>
      <c r="DPQ30" s="53"/>
      <c r="DPU30" s="28"/>
      <c r="DPW30" s="55"/>
      <c r="DPX30" s="53"/>
      <c r="DQB30" s="28"/>
      <c r="DQD30" s="55"/>
      <c r="DQE30" s="53"/>
      <c r="DQI30" s="28"/>
      <c r="DQK30" s="55"/>
      <c r="DQL30" s="53"/>
      <c r="DQP30" s="28"/>
      <c r="DQR30" s="55"/>
      <c r="DQS30" s="53"/>
      <c r="DQW30" s="28"/>
      <c r="DQY30" s="55"/>
      <c r="DQZ30" s="53"/>
      <c r="DRD30" s="28"/>
      <c r="DRF30" s="55"/>
      <c r="DRG30" s="53"/>
      <c r="DRK30" s="28"/>
      <c r="DRM30" s="55"/>
      <c r="DRN30" s="53"/>
      <c r="DRR30" s="28"/>
      <c r="DRT30" s="55"/>
      <c r="DRU30" s="53"/>
      <c r="DRY30" s="28"/>
      <c r="DSA30" s="55"/>
      <c r="DSB30" s="53"/>
      <c r="DSF30" s="28"/>
      <c r="DSH30" s="55"/>
      <c r="DSI30" s="53"/>
      <c r="DSM30" s="28"/>
      <c r="DSO30" s="55"/>
      <c r="DSP30" s="53"/>
      <c r="DST30" s="28"/>
      <c r="DSV30" s="55"/>
      <c r="DSW30" s="53"/>
      <c r="DTA30" s="28"/>
      <c r="DTC30" s="55"/>
      <c r="DTD30" s="53"/>
      <c r="DTH30" s="28"/>
      <c r="DTJ30" s="55"/>
      <c r="DTK30" s="53"/>
      <c r="DTO30" s="28"/>
      <c r="DTQ30" s="55"/>
      <c r="DTR30" s="53"/>
      <c r="DTV30" s="28"/>
      <c r="DTX30" s="55"/>
      <c r="DTY30" s="53"/>
      <c r="DUC30" s="28"/>
      <c r="DUE30" s="55"/>
      <c r="DUF30" s="53"/>
      <c r="DUJ30" s="28"/>
      <c r="DUL30" s="55"/>
      <c r="DUM30" s="53"/>
      <c r="DUQ30" s="28"/>
      <c r="DUS30" s="55"/>
      <c r="DUT30" s="53"/>
      <c r="DUX30" s="28"/>
      <c r="DUZ30" s="55"/>
      <c r="DVA30" s="53"/>
      <c r="DVE30" s="28"/>
      <c r="DVG30" s="55"/>
      <c r="DVH30" s="53"/>
      <c r="DVL30" s="28"/>
      <c r="DVN30" s="55"/>
      <c r="DVO30" s="53"/>
      <c r="DVS30" s="28"/>
      <c r="DVU30" s="55"/>
      <c r="DVV30" s="53"/>
      <c r="DVZ30" s="28"/>
      <c r="DWB30" s="55"/>
      <c r="DWC30" s="53"/>
      <c r="DWG30" s="28"/>
      <c r="DWI30" s="55"/>
      <c r="DWJ30" s="53"/>
      <c r="DWN30" s="28"/>
      <c r="DWP30" s="55"/>
      <c r="DWQ30" s="53"/>
      <c r="DWU30" s="28"/>
      <c r="DWW30" s="55"/>
      <c r="DWX30" s="53"/>
      <c r="DXB30" s="28"/>
      <c r="DXD30" s="55"/>
      <c r="DXE30" s="53"/>
      <c r="DXI30" s="28"/>
      <c r="DXK30" s="55"/>
      <c r="DXL30" s="53"/>
      <c r="DXP30" s="28"/>
      <c r="DXR30" s="55"/>
      <c r="DXS30" s="53"/>
      <c r="DXW30" s="28"/>
      <c r="DXY30" s="55"/>
      <c r="DXZ30" s="53"/>
      <c r="DYD30" s="28"/>
      <c r="DYF30" s="55"/>
      <c r="DYG30" s="53"/>
      <c r="DYK30" s="28"/>
      <c r="DYM30" s="55"/>
      <c r="DYN30" s="53"/>
      <c r="DYR30" s="28"/>
      <c r="DYT30" s="55"/>
      <c r="DYU30" s="53"/>
      <c r="DYY30" s="28"/>
      <c r="DZA30" s="55"/>
      <c r="DZB30" s="53"/>
      <c r="DZF30" s="28"/>
      <c r="DZH30" s="55"/>
      <c r="DZI30" s="53"/>
      <c r="DZM30" s="28"/>
      <c r="DZO30" s="55"/>
      <c r="DZP30" s="53"/>
      <c r="DZT30" s="28"/>
      <c r="DZV30" s="55"/>
      <c r="DZW30" s="53"/>
      <c r="EAA30" s="28"/>
      <c r="EAC30" s="55"/>
      <c r="EAD30" s="53"/>
      <c r="EAH30" s="28"/>
      <c r="EAJ30" s="55"/>
      <c r="EAK30" s="53"/>
      <c r="EAO30" s="28"/>
      <c r="EAQ30" s="55"/>
      <c r="EAR30" s="53"/>
      <c r="EAV30" s="28"/>
      <c r="EAX30" s="55"/>
      <c r="EAY30" s="53"/>
      <c r="EBC30" s="28"/>
      <c r="EBE30" s="55"/>
      <c r="EBF30" s="53"/>
      <c r="EBJ30" s="28"/>
      <c r="EBL30" s="55"/>
      <c r="EBM30" s="53"/>
      <c r="EBQ30" s="28"/>
      <c r="EBS30" s="55"/>
      <c r="EBT30" s="53"/>
      <c r="EBX30" s="28"/>
      <c r="EBZ30" s="55"/>
      <c r="ECA30" s="53"/>
      <c r="ECE30" s="28"/>
      <c r="ECG30" s="55"/>
      <c r="ECH30" s="53"/>
      <c r="ECL30" s="28"/>
      <c r="ECN30" s="55"/>
      <c r="ECO30" s="53"/>
      <c r="ECS30" s="28"/>
      <c r="ECU30" s="55"/>
      <c r="ECV30" s="53"/>
      <c r="ECZ30" s="28"/>
      <c r="EDB30" s="55"/>
      <c r="EDC30" s="53"/>
      <c r="EDG30" s="28"/>
      <c r="EDI30" s="55"/>
      <c r="EDJ30" s="53"/>
      <c r="EDN30" s="28"/>
      <c r="EDP30" s="55"/>
      <c r="EDQ30" s="53"/>
      <c r="EDU30" s="28"/>
      <c r="EDW30" s="55"/>
      <c r="EDX30" s="53"/>
      <c r="EEB30" s="28"/>
      <c r="EED30" s="55"/>
      <c r="EEE30" s="53"/>
      <c r="EEI30" s="28"/>
      <c r="EEK30" s="55"/>
      <c r="EEL30" s="53"/>
      <c r="EEP30" s="28"/>
      <c r="EER30" s="55"/>
      <c r="EES30" s="53"/>
      <c r="EEW30" s="28"/>
      <c r="EEY30" s="55"/>
      <c r="EEZ30" s="53"/>
      <c r="EFD30" s="28"/>
      <c r="EFF30" s="55"/>
      <c r="EFG30" s="53"/>
      <c r="EFK30" s="28"/>
      <c r="EFM30" s="55"/>
      <c r="EFN30" s="53"/>
      <c r="EFR30" s="28"/>
      <c r="EFT30" s="55"/>
      <c r="EFU30" s="53"/>
      <c r="EFY30" s="28"/>
      <c r="EGA30" s="55"/>
      <c r="EGB30" s="53"/>
      <c r="EGF30" s="28"/>
      <c r="EGH30" s="55"/>
      <c r="EGI30" s="53"/>
      <c r="EGM30" s="28"/>
      <c r="EGO30" s="55"/>
      <c r="EGP30" s="53"/>
      <c r="EGT30" s="28"/>
      <c r="EGV30" s="55"/>
      <c r="EGW30" s="53"/>
      <c r="EHA30" s="28"/>
      <c r="EHC30" s="55"/>
      <c r="EHD30" s="53"/>
      <c r="EHH30" s="28"/>
      <c r="EHJ30" s="55"/>
      <c r="EHK30" s="53"/>
      <c r="EHO30" s="28"/>
      <c r="EHQ30" s="55"/>
      <c r="EHR30" s="53"/>
      <c r="EHV30" s="28"/>
      <c r="EHX30" s="55"/>
      <c r="EHY30" s="53"/>
      <c r="EIC30" s="28"/>
      <c r="EIE30" s="55"/>
      <c r="EIF30" s="53"/>
      <c r="EIJ30" s="28"/>
      <c r="EIL30" s="55"/>
      <c r="EIM30" s="53"/>
      <c r="EIQ30" s="28"/>
      <c r="EIS30" s="55"/>
      <c r="EIT30" s="53"/>
      <c r="EIX30" s="28"/>
      <c r="EIZ30" s="55"/>
      <c r="EJA30" s="53"/>
      <c r="EJE30" s="28"/>
      <c r="EJG30" s="55"/>
      <c r="EJH30" s="53"/>
      <c r="EJL30" s="28"/>
      <c r="EJN30" s="55"/>
      <c r="EJO30" s="53"/>
      <c r="EJS30" s="28"/>
      <c r="EJU30" s="55"/>
      <c r="EJV30" s="53"/>
      <c r="EJZ30" s="28"/>
      <c r="EKB30" s="55"/>
      <c r="EKC30" s="53"/>
      <c r="EKG30" s="28"/>
      <c r="EKI30" s="55"/>
      <c r="EKJ30" s="53"/>
      <c r="EKN30" s="28"/>
      <c r="EKP30" s="55"/>
      <c r="EKQ30" s="53"/>
      <c r="EKU30" s="28"/>
      <c r="EKW30" s="55"/>
      <c r="EKX30" s="53"/>
      <c r="ELB30" s="28"/>
      <c r="ELD30" s="55"/>
      <c r="ELE30" s="53"/>
      <c r="ELI30" s="28"/>
      <c r="ELK30" s="55"/>
      <c r="ELL30" s="53"/>
      <c r="ELP30" s="28"/>
      <c r="ELR30" s="55"/>
      <c r="ELS30" s="53"/>
      <c r="ELW30" s="28"/>
      <c r="ELY30" s="55"/>
      <c r="ELZ30" s="53"/>
      <c r="EMD30" s="28"/>
      <c r="EMF30" s="55"/>
      <c r="EMG30" s="53"/>
      <c r="EMK30" s="28"/>
      <c r="EMM30" s="55"/>
      <c r="EMN30" s="53"/>
      <c r="EMR30" s="28"/>
      <c r="EMT30" s="55"/>
      <c r="EMU30" s="53"/>
      <c r="EMY30" s="28"/>
      <c r="ENA30" s="55"/>
      <c r="ENB30" s="53"/>
      <c r="ENF30" s="28"/>
      <c r="ENH30" s="55"/>
      <c r="ENI30" s="53"/>
      <c r="ENM30" s="28"/>
      <c r="ENO30" s="55"/>
      <c r="ENP30" s="53"/>
      <c r="ENT30" s="28"/>
      <c r="ENV30" s="55"/>
      <c r="ENW30" s="53"/>
      <c r="EOA30" s="28"/>
      <c r="EOC30" s="55"/>
      <c r="EOD30" s="53"/>
      <c r="EOH30" s="28"/>
      <c r="EOJ30" s="55"/>
      <c r="EOK30" s="53"/>
      <c r="EOO30" s="28"/>
      <c r="EOQ30" s="55"/>
      <c r="EOR30" s="53"/>
      <c r="EOV30" s="28"/>
      <c r="EOX30" s="55"/>
      <c r="EOY30" s="53"/>
      <c r="EPC30" s="28"/>
      <c r="EPE30" s="55"/>
      <c r="EPF30" s="53"/>
      <c r="EPJ30" s="28"/>
      <c r="EPL30" s="55"/>
      <c r="EPM30" s="53"/>
      <c r="EPQ30" s="28"/>
      <c r="EPS30" s="55"/>
      <c r="EPT30" s="53"/>
      <c r="EPX30" s="28"/>
      <c r="EPZ30" s="55"/>
      <c r="EQA30" s="53"/>
      <c r="EQE30" s="28"/>
      <c r="EQG30" s="55"/>
      <c r="EQH30" s="53"/>
      <c r="EQL30" s="28"/>
      <c r="EQN30" s="55"/>
      <c r="EQO30" s="53"/>
      <c r="EQS30" s="28"/>
      <c r="EQU30" s="55"/>
      <c r="EQV30" s="53"/>
      <c r="EQZ30" s="28"/>
      <c r="ERB30" s="55"/>
      <c r="ERC30" s="53"/>
      <c r="ERG30" s="28"/>
      <c r="ERI30" s="55"/>
      <c r="ERJ30" s="53"/>
      <c r="ERN30" s="28"/>
      <c r="ERP30" s="55"/>
      <c r="ERQ30" s="53"/>
      <c r="ERU30" s="28"/>
      <c r="ERW30" s="55"/>
      <c r="ERX30" s="53"/>
      <c r="ESB30" s="28"/>
      <c r="ESD30" s="55"/>
      <c r="ESE30" s="53"/>
      <c r="ESI30" s="28"/>
      <c r="ESK30" s="55"/>
      <c r="ESL30" s="53"/>
      <c r="ESP30" s="28"/>
      <c r="ESR30" s="55"/>
      <c r="ESS30" s="53"/>
      <c r="ESW30" s="28"/>
      <c r="ESY30" s="55"/>
      <c r="ESZ30" s="53"/>
      <c r="ETD30" s="28"/>
      <c r="ETF30" s="55"/>
      <c r="ETG30" s="53"/>
      <c r="ETK30" s="28"/>
      <c r="ETM30" s="55"/>
      <c r="ETN30" s="53"/>
      <c r="ETR30" s="28"/>
      <c r="ETT30" s="55"/>
      <c r="ETU30" s="53"/>
      <c r="ETY30" s="28"/>
      <c r="EUA30" s="55"/>
      <c r="EUB30" s="53"/>
      <c r="EUF30" s="28"/>
      <c r="EUH30" s="55"/>
      <c r="EUI30" s="53"/>
      <c r="EUM30" s="28"/>
      <c r="EUO30" s="55"/>
      <c r="EUP30" s="53"/>
      <c r="EUT30" s="28"/>
      <c r="EUV30" s="55"/>
      <c r="EUW30" s="53"/>
      <c r="EVA30" s="28"/>
      <c r="EVC30" s="55"/>
      <c r="EVD30" s="53"/>
      <c r="EVH30" s="28"/>
      <c r="EVJ30" s="55"/>
      <c r="EVK30" s="53"/>
      <c r="EVO30" s="28"/>
      <c r="EVQ30" s="55"/>
      <c r="EVR30" s="53"/>
      <c r="EVV30" s="28"/>
      <c r="EVX30" s="55"/>
      <c r="EVY30" s="53"/>
      <c r="EWC30" s="28"/>
      <c r="EWE30" s="55"/>
      <c r="EWF30" s="53"/>
      <c r="EWJ30" s="28"/>
      <c r="EWL30" s="55"/>
      <c r="EWM30" s="53"/>
      <c r="EWQ30" s="28"/>
      <c r="EWS30" s="55"/>
      <c r="EWT30" s="53"/>
      <c r="EWX30" s="28"/>
      <c r="EWZ30" s="55"/>
      <c r="EXA30" s="53"/>
      <c r="EXE30" s="28"/>
      <c r="EXG30" s="55"/>
      <c r="EXH30" s="53"/>
      <c r="EXL30" s="28"/>
      <c r="EXN30" s="55"/>
      <c r="EXO30" s="53"/>
      <c r="EXS30" s="28"/>
      <c r="EXU30" s="55"/>
      <c r="EXV30" s="53"/>
      <c r="EXZ30" s="28"/>
      <c r="EYB30" s="55"/>
      <c r="EYC30" s="53"/>
      <c r="EYG30" s="28"/>
      <c r="EYI30" s="55"/>
      <c r="EYJ30" s="53"/>
      <c r="EYN30" s="28"/>
      <c r="EYP30" s="55"/>
      <c r="EYQ30" s="53"/>
      <c r="EYU30" s="28"/>
      <c r="EYW30" s="55"/>
      <c r="EYX30" s="53"/>
      <c r="EZB30" s="28"/>
      <c r="EZD30" s="55"/>
      <c r="EZE30" s="53"/>
      <c r="EZI30" s="28"/>
      <c r="EZK30" s="55"/>
      <c r="EZL30" s="53"/>
      <c r="EZP30" s="28"/>
      <c r="EZR30" s="55"/>
      <c r="EZS30" s="53"/>
      <c r="EZW30" s="28"/>
      <c r="EZY30" s="55"/>
      <c r="EZZ30" s="53"/>
      <c r="FAD30" s="28"/>
      <c r="FAF30" s="55"/>
      <c r="FAG30" s="53"/>
      <c r="FAK30" s="28"/>
      <c r="FAM30" s="55"/>
      <c r="FAN30" s="53"/>
      <c r="FAR30" s="28"/>
      <c r="FAT30" s="55"/>
      <c r="FAU30" s="53"/>
      <c r="FAY30" s="28"/>
      <c r="FBA30" s="55"/>
      <c r="FBB30" s="53"/>
      <c r="FBF30" s="28"/>
      <c r="FBH30" s="55"/>
      <c r="FBI30" s="53"/>
      <c r="FBM30" s="28"/>
      <c r="FBO30" s="55"/>
      <c r="FBP30" s="53"/>
      <c r="FBT30" s="28"/>
      <c r="FBV30" s="55"/>
      <c r="FBW30" s="53"/>
      <c r="FCA30" s="28"/>
      <c r="FCC30" s="55"/>
      <c r="FCD30" s="53"/>
      <c r="FCH30" s="28"/>
      <c r="FCJ30" s="55"/>
      <c r="FCK30" s="53"/>
      <c r="FCO30" s="28"/>
      <c r="FCQ30" s="55"/>
      <c r="FCR30" s="53"/>
      <c r="FCV30" s="28"/>
      <c r="FCX30" s="55"/>
      <c r="FCY30" s="53"/>
      <c r="FDC30" s="28"/>
      <c r="FDE30" s="55"/>
      <c r="FDF30" s="53"/>
      <c r="FDJ30" s="28"/>
      <c r="FDL30" s="55"/>
      <c r="FDM30" s="53"/>
      <c r="FDQ30" s="28"/>
      <c r="FDS30" s="55"/>
      <c r="FDT30" s="53"/>
      <c r="FDX30" s="28"/>
      <c r="FDZ30" s="55"/>
      <c r="FEA30" s="53"/>
      <c r="FEE30" s="28"/>
      <c r="FEG30" s="55"/>
      <c r="FEH30" s="53"/>
      <c r="FEL30" s="28"/>
      <c r="FEN30" s="55"/>
      <c r="FEO30" s="53"/>
      <c r="FES30" s="28"/>
      <c r="FEU30" s="55"/>
      <c r="FEV30" s="53"/>
      <c r="FEZ30" s="28"/>
      <c r="FFB30" s="55"/>
      <c r="FFC30" s="53"/>
      <c r="FFG30" s="28"/>
      <c r="FFI30" s="55"/>
      <c r="FFJ30" s="53"/>
      <c r="FFN30" s="28"/>
      <c r="FFP30" s="55"/>
      <c r="FFQ30" s="53"/>
      <c r="FFU30" s="28"/>
      <c r="FFW30" s="55"/>
      <c r="FFX30" s="53"/>
      <c r="FGB30" s="28"/>
      <c r="FGD30" s="55"/>
      <c r="FGE30" s="53"/>
      <c r="FGI30" s="28"/>
      <c r="FGK30" s="55"/>
      <c r="FGL30" s="53"/>
      <c r="FGP30" s="28"/>
      <c r="FGR30" s="55"/>
      <c r="FGS30" s="53"/>
      <c r="FGW30" s="28"/>
      <c r="FGY30" s="55"/>
      <c r="FGZ30" s="53"/>
      <c r="FHD30" s="28"/>
      <c r="FHF30" s="55"/>
      <c r="FHG30" s="53"/>
      <c r="FHK30" s="28"/>
      <c r="FHM30" s="55"/>
      <c r="FHN30" s="53"/>
      <c r="FHR30" s="28"/>
      <c r="FHT30" s="55"/>
      <c r="FHU30" s="53"/>
      <c r="FHY30" s="28"/>
      <c r="FIA30" s="55"/>
      <c r="FIB30" s="53"/>
      <c r="FIF30" s="28"/>
      <c r="FIH30" s="55"/>
      <c r="FII30" s="53"/>
      <c r="FIM30" s="28"/>
      <c r="FIO30" s="55"/>
      <c r="FIP30" s="53"/>
      <c r="FIT30" s="28"/>
      <c r="FIV30" s="55"/>
      <c r="FIW30" s="53"/>
      <c r="FJA30" s="28"/>
      <c r="FJC30" s="55"/>
      <c r="FJD30" s="53"/>
      <c r="FJH30" s="28"/>
      <c r="FJJ30" s="55"/>
      <c r="FJK30" s="53"/>
      <c r="FJO30" s="28"/>
      <c r="FJQ30" s="55"/>
      <c r="FJR30" s="53"/>
      <c r="FJV30" s="28"/>
      <c r="FJX30" s="55"/>
      <c r="FJY30" s="53"/>
      <c r="FKC30" s="28"/>
      <c r="FKE30" s="55"/>
      <c r="FKF30" s="53"/>
      <c r="FKJ30" s="28"/>
      <c r="FKL30" s="55"/>
      <c r="FKM30" s="53"/>
      <c r="FKQ30" s="28"/>
      <c r="FKS30" s="55"/>
      <c r="FKT30" s="53"/>
      <c r="FKX30" s="28"/>
      <c r="FKZ30" s="55"/>
      <c r="FLA30" s="53"/>
      <c r="FLE30" s="28"/>
      <c r="FLG30" s="55"/>
      <c r="FLH30" s="53"/>
      <c r="FLL30" s="28"/>
      <c r="FLN30" s="55"/>
      <c r="FLO30" s="53"/>
      <c r="FLS30" s="28"/>
      <c r="FLU30" s="55"/>
      <c r="FLV30" s="53"/>
      <c r="FLZ30" s="28"/>
      <c r="FMB30" s="55"/>
      <c r="FMC30" s="53"/>
      <c r="FMG30" s="28"/>
      <c r="FMI30" s="55"/>
      <c r="FMJ30" s="53"/>
      <c r="FMN30" s="28"/>
      <c r="FMP30" s="55"/>
      <c r="FMQ30" s="53"/>
      <c r="FMU30" s="28"/>
      <c r="FMW30" s="55"/>
      <c r="FMX30" s="53"/>
      <c r="FNB30" s="28"/>
      <c r="FND30" s="55"/>
      <c r="FNE30" s="53"/>
      <c r="FNI30" s="28"/>
      <c r="FNK30" s="55"/>
      <c r="FNL30" s="53"/>
      <c r="FNP30" s="28"/>
      <c r="FNR30" s="55"/>
      <c r="FNS30" s="53"/>
      <c r="FNW30" s="28"/>
      <c r="FNY30" s="55"/>
      <c r="FNZ30" s="53"/>
      <c r="FOD30" s="28"/>
      <c r="FOF30" s="55"/>
      <c r="FOG30" s="53"/>
      <c r="FOK30" s="28"/>
      <c r="FOM30" s="55"/>
      <c r="FON30" s="53"/>
      <c r="FOR30" s="28"/>
      <c r="FOT30" s="55"/>
      <c r="FOU30" s="53"/>
      <c r="FOY30" s="28"/>
      <c r="FPA30" s="55"/>
      <c r="FPB30" s="53"/>
      <c r="FPF30" s="28"/>
      <c r="FPH30" s="55"/>
      <c r="FPI30" s="53"/>
      <c r="FPM30" s="28"/>
      <c r="FPO30" s="55"/>
      <c r="FPP30" s="53"/>
      <c r="FPT30" s="28"/>
      <c r="FPV30" s="55"/>
      <c r="FPW30" s="53"/>
      <c r="FQA30" s="28"/>
      <c r="FQC30" s="55"/>
      <c r="FQD30" s="53"/>
      <c r="FQH30" s="28"/>
      <c r="FQJ30" s="55"/>
      <c r="FQK30" s="53"/>
      <c r="FQO30" s="28"/>
      <c r="FQQ30" s="55"/>
      <c r="FQR30" s="53"/>
      <c r="FQV30" s="28"/>
      <c r="FQX30" s="55"/>
      <c r="FQY30" s="53"/>
      <c r="FRC30" s="28"/>
      <c r="FRE30" s="55"/>
      <c r="FRF30" s="53"/>
      <c r="FRJ30" s="28"/>
      <c r="FRL30" s="55"/>
      <c r="FRM30" s="53"/>
      <c r="FRQ30" s="28"/>
      <c r="FRS30" s="55"/>
      <c r="FRT30" s="53"/>
      <c r="FRX30" s="28"/>
      <c r="FRZ30" s="55"/>
      <c r="FSA30" s="53"/>
      <c r="FSE30" s="28"/>
      <c r="FSG30" s="55"/>
      <c r="FSH30" s="53"/>
      <c r="FSL30" s="28"/>
      <c r="FSN30" s="55"/>
      <c r="FSO30" s="53"/>
      <c r="FSS30" s="28"/>
      <c r="FSU30" s="55"/>
      <c r="FSV30" s="53"/>
      <c r="FSZ30" s="28"/>
      <c r="FTB30" s="55"/>
      <c r="FTC30" s="53"/>
      <c r="FTG30" s="28"/>
      <c r="FTI30" s="55"/>
      <c r="FTJ30" s="53"/>
      <c r="FTN30" s="28"/>
      <c r="FTP30" s="55"/>
      <c r="FTQ30" s="53"/>
      <c r="FTU30" s="28"/>
      <c r="FTW30" s="55"/>
      <c r="FTX30" s="53"/>
      <c r="FUB30" s="28"/>
      <c r="FUD30" s="55"/>
      <c r="FUE30" s="53"/>
      <c r="FUI30" s="28"/>
      <c r="FUK30" s="55"/>
      <c r="FUL30" s="53"/>
      <c r="FUP30" s="28"/>
      <c r="FUR30" s="55"/>
      <c r="FUS30" s="53"/>
      <c r="FUW30" s="28"/>
      <c r="FUY30" s="55"/>
      <c r="FUZ30" s="53"/>
      <c r="FVD30" s="28"/>
      <c r="FVF30" s="55"/>
      <c r="FVG30" s="53"/>
      <c r="FVK30" s="28"/>
      <c r="FVM30" s="55"/>
      <c r="FVN30" s="53"/>
      <c r="FVR30" s="28"/>
      <c r="FVT30" s="55"/>
      <c r="FVU30" s="53"/>
      <c r="FVY30" s="28"/>
      <c r="FWA30" s="55"/>
      <c r="FWB30" s="53"/>
      <c r="FWF30" s="28"/>
      <c r="FWH30" s="55"/>
      <c r="FWI30" s="53"/>
      <c r="FWM30" s="28"/>
      <c r="FWO30" s="55"/>
      <c r="FWP30" s="53"/>
      <c r="FWT30" s="28"/>
      <c r="FWV30" s="55"/>
      <c r="FWW30" s="53"/>
      <c r="FXA30" s="28"/>
      <c r="FXC30" s="55"/>
      <c r="FXD30" s="53"/>
      <c r="FXH30" s="28"/>
      <c r="FXJ30" s="55"/>
      <c r="FXK30" s="53"/>
      <c r="FXO30" s="28"/>
      <c r="FXQ30" s="55"/>
      <c r="FXR30" s="53"/>
      <c r="FXV30" s="28"/>
      <c r="FXX30" s="55"/>
      <c r="FXY30" s="53"/>
      <c r="FYC30" s="28"/>
      <c r="FYE30" s="55"/>
      <c r="FYF30" s="53"/>
      <c r="FYJ30" s="28"/>
      <c r="FYL30" s="55"/>
      <c r="FYM30" s="53"/>
      <c r="FYQ30" s="28"/>
      <c r="FYS30" s="55"/>
      <c r="FYT30" s="53"/>
      <c r="FYX30" s="28"/>
      <c r="FYZ30" s="55"/>
      <c r="FZA30" s="53"/>
      <c r="FZE30" s="28"/>
      <c r="FZG30" s="55"/>
      <c r="FZH30" s="53"/>
      <c r="FZL30" s="28"/>
      <c r="FZN30" s="55"/>
      <c r="FZO30" s="53"/>
      <c r="FZS30" s="28"/>
      <c r="FZU30" s="55"/>
      <c r="FZV30" s="53"/>
      <c r="FZZ30" s="28"/>
      <c r="GAB30" s="55"/>
      <c r="GAC30" s="53"/>
      <c r="GAG30" s="28"/>
      <c r="GAI30" s="55"/>
      <c r="GAJ30" s="53"/>
      <c r="GAN30" s="28"/>
      <c r="GAP30" s="55"/>
      <c r="GAQ30" s="53"/>
      <c r="GAU30" s="28"/>
      <c r="GAW30" s="55"/>
      <c r="GAX30" s="53"/>
      <c r="GBB30" s="28"/>
      <c r="GBD30" s="55"/>
      <c r="GBE30" s="53"/>
      <c r="GBI30" s="28"/>
      <c r="GBK30" s="55"/>
      <c r="GBL30" s="53"/>
      <c r="GBP30" s="28"/>
      <c r="GBR30" s="55"/>
      <c r="GBS30" s="53"/>
      <c r="GBW30" s="28"/>
      <c r="GBY30" s="55"/>
      <c r="GBZ30" s="53"/>
      <c r="GCD30" s="28"/>
      <c r="GCF30" s="55"/>
      <c r="GCG30" s="53"/>
      <c r="GCK30" s="28"/>
      <c r="GCM30" s="55"/>
      <c r="GCN30" s="53"/>
      <c r="GCR30" s="28"/>
      <c r="GCT30" s="55"/>
      <c r="GCU30" s="53"/>
      <c r="GCY30" s="28"/>
      <c r="GDA30" s="55"/>
      <c r="GDB30" s="53"/>
      <c r="GDF30" s="28"/>
      <c r="GDH30" s="55"/>
      <c r="GDI30" s="53"/>
      <c r="GDM30" s="28"/>
      <c r="GDO30" s="55"/>
      <c r="GDP30" s="53"/>
      <c r="GDT30" s="28"/>
      <c r="GDV30" s="55"/>
      <c r="GDW30" s="53"/>
      <c r="GEA30" s="28"/>
      <c r="GEC30" s="55"/>
      <c r="GED30" s="53"/>
      <c r="GEH30" s="28"/>
      <c r="GEJ30" s="55"/>
      <c r="GEK30" s="53"/>
      <c r="GEO30" s="28"/>
      <c r="GEQ30" s="55"/>
      <c r="GER30" s="53"/>
      <c r="GEV30" s="28"/>
      <c r="GEX30" s="55"/>
      <c r="GEY30" s="53"/>
      <c r="GFC30" s="28"/>
      <c r="GFE30" s="55"/>
      <c r="GFF30" s="53"/>
      <c r="GFJ30" s="28"/>
      <c r="GFL30" s="55"/>
      <c r="GFM30" s="53"/>
      <c r="GFQ30" s="28"/>
      <c r="GFS30" s="55"/>
      <c r="GFT30" s="53"/>
      <c r="GFX30" s="28"/>
      <c r="GFZ30" s="55"/>
      <c r="GGA30" s="53"/>
      <c r="GGE30" s="28"/>
      <c r="GGG30" s="55"/>
      <c r="GGH30" s="53"/>
      <c r="GGL30" s="28"/>
      <c r="GGN30" s="55"/>
      <c r="GGO30" s="53"/>
      <c r="GGS30" s="28"/>
      <c r="GGU30" s="55"/>
      <c r="GGV30" s="53"/>
      <c r="GGZ30" s="28"/>
      <c r="GHB30" s="55"/>
      <c r="GHC30" s="53"/>
      <c r="GHG30" s="28"/>
      <c r="GHI30" s="55"/>
      <c r="GHJ30" s="53"/>
      <c r="GHN30" s="28"/>
      <c r="GHP30" s="55"/>
      <c r="GHQ30" s="53"/>
      <c r="GHU30" s="28"/>
      <c r="GHW30" s="55"/>
      <c r="GHX30" s="53"/>
      <c r="GIB30" s="28"/>
      <c r="GID30" s="55"/>
      <c r="GIE30" s="53"/>
      <c r="GII30" s="28"/>
      <c r="GIK30" s="55"/>
      <c r="GIL30" s="53"/>
      <c r="GIP30" s="28"/>
      <c r="GIR30" s="55"/>
      <c r="GIS30" s="53"/>
      <c r="GIW30" s="28"/>
      <c r="GIY30" s="55"/>
      <c r="GIZ30" s="53"/>
      <c r="GJD30" s="28"/>
      <c r="GJF30" s="55"/>
      <c r="GJG30" s="53"/>
      <c r="GJK30" s="28"/>
      <c r="GJM30" s="55"/>
      <c r="GJN30" s="53"/>
      <c r="GJR30" s="28"/>
      <c r="GJT30" s="55"/>
      <c r="GJU30" s="53"/>
      <c r="GJY30" s="28"/>
      <c r="GKA30" s="55"/>
      <c r="GKB30" s="53"/>
      <c r="GKF30" s="28"/>
      <c r="GKH30" s="55"/>
      <c r="GKI30" s="53"/>
      <c r="GKM30" s="28"/>
      <c r="GKO30" s="55"/>
      <c r="GKP30" s="53"/>
      <c r="GKT30" s="28"/>
      <c r="GKV30" s="55"/>
      <c r="GKW30" s="53"/>
      <c r="GLA30" s="28"/>
      <c r="GLC30" s="55"/>
      <c r="GLD30" s="53"/>
      <c r="GLH30" s="28"/>
      <c r="GLJ30" s="55"/>
      <c r="GLK30" s="53"/>
      <c r="GLO30" s="28"/>
      <c r="GLQ30" s="55"/>
      <c r="GLR30" s="53"/>
      <c r="GLV30" s="28"/>
      <c r="GLX30" s="55"/>
      <c r="GLY30" s="53"/>
      <c r="GMC30" s="28"/>
      <c r="GME30" s="55"/>
      <c r="GMF30" s="53"/>
      <c r="GMJ30" s="28"/>
      <c r="GML30" s="55"/>
      <c r="GMM30" s="53"/>
      <c r="GMQ30" s="28"/>
      <c r="GMS30" s="55"/>
      <c r="GMT30" s="53"/>
      <c r="GMX30" s="28"/>
      <c r="GMZ30" s="55"/>
      <c r="GNA30" s="53"/>
      <c r="GNE30" s="28"/>
      <c r="GNG30" s="55"/>
      <c r="GNH30" s="53"/>
      <c r="GNL30" s="28"/>
      <c r="GNN30" s="55"/>
      <c r="GNO30" s="53"/>
      <c r="GNS30" s="28"/>
      <c r="GNU30" s="55"/>
      <c r="GNV30" s="53"/>
      <c r="GNZ30" s="28"/>
      <c r="GOB30" s="55"/>
      <c r="GOC30" s="53"/>
      <c r="GOG30" s="28"/>
      <c r="GOI30" s="55"/>
      <c r="GOJ30" s="53"/>
      <c r="GON30" s="28"/>
      <c r="GOP30" s="55"/>
      <c r="GOQ30" s="53"/>
      <c r="GOU30" s="28"/>
      <c r="GOW30" s="55"/>
      <c r="GOX30" s="53"/>
      <c r="GPB30" s="28"/>
      <c r="GPD30" s="55"/>
      <c r="GPE30" s="53"/>
      <c r="GPI30" s="28"/>
      <c r="GPK30" s="55"/>
      <c r="GPL30" s="53"/>
      <c r="GPP30" s="28"/>
      <c r="GPR30" s="55"/>
      <c r="GPS30" s="53"/>
      <c r="GPW30" s="28"/>
      <c r="GPY30" s="55"/>
      <c r="GPZ30" s="53"/>
      <c r="GQD30" s="28"/>
      <c r="GQF30" s="55"/>
      <c r="GQG30" s="53"/>
      <c r="GQK30" s="28"/>
      <c r="GQM30" s="55"/>
      <c r="GQN30" s="53"/>
      <c r="GQR30" s="28"/>
      <c r="GQT30" s="55"/>
      <c r="GQU30" s="53"/>
      <c r="GQY30" s="28"/>
      <c r="GRA30" s="55"/>
      <c r="GRB30" s="53"/>
      <c r="GRF30" s="28"/>
      <c r="GRH30" s="55"/>
      <c r="GRI30" s="53"/>
      <c r="GRM30" s="28"/>
      <c r="GRO30" s="55"/>
      <c r="GRP30" s="53"/>
      <c r="GRT30" s="28"/>
      <c r="GRV30" s="55"/>
      <c r="GRW30" s="53"/>
      <c r="GSA30" s="28"/>
      <c r="GSC30" s="55"/>
      <c r="GSD30" s="53"/>
      <c r="GSH30" s="28"/>
      <c r="GSJ30" s="55"/>
      <c r="GSK30" s="53"/>
      <c r="GSO30" s="28"/>
      <c r="GSQ30" s="55"/>
      <c r="GSR30" s="53"/>
      <c r="GSV30" s="28"/>
      <c r="GSX30" s="55"/>
      <c r="GSY30" s="53"/>
      <c r="GTC30" s="28"/>
      <c r="GTE30" s="55"/>
      <c r="GTF30" s="53"/>
      <c r="GTJ30" s="28"/>
      <c r="GTL30" s="55"/>
      <c r="GTM30" s="53"/>
      <c r="GTQ30" s="28"/>
      <c r="GTS30" s="55"/>
      <c r="GTT30" s="53"/>
      <c r="GTX30" s="28"/>
      <c r="GTZ30" s="55"/>
      <c r="GUA30" s="53"/>
      <c r="GUE30" s="28"/>
      <c r="GUG30" s="55"/>
      <c r="GUH30" s="53"/>
      <c r="GUL30" s="28"/>
      <c r="GUN30" s="55"/>
      <c r="GUO30" s="53"/>
      <c r="GUS30" s="28"/>
      <c r="GUU30" s="55"/>
      <c r="GUV30" s="53"/>
      <c r="GUZ30" s="28"/>
      <c r="GVB30" s="55"/>
      <c r="GVC30" s="53"/>
      <c r="GVG30" s="28"/>
      <c r="GVI30" s="55"/>
      <c r="GVJ30" s="53"/>
      <c r="GVN30" s="28"/>
      <c r="GVP30" s="55"/>
      <c r="GVQ30" s="53"/>
      <c r="GVU30" s="28"/>
      <c r="GVW30" s="55"/>
      <c r="GVX30" s="53"/>
      <c r="GWB30" s="28"/>
      <c r="GWD30" s="55"/>
      <c r="GWE30" s="53"/>
      <c r="GWI30" s="28"/>
      <c r="GWK30" s="55"/>
      <c r="GWL30" s="53"/>
      <c r="GWP30" s="28"/>
      <c r="GWR30" s="55"/>
      <c r="GWS30" s="53"/>
      <c r="GWW30" s="28"/>
      <c r="GWY30" s="55"/>
      <c r="GWZ30" s="53"/>
      <c r="GXD30" s="28"/>
      <c r="GXF30" s="55"/>
      <c r="GXG30" s="53"/>
      <c r="GXK30" s="28"/>
      <c r="GXM30" s="55"/>
      <c r="GXN30" s="53"/>
      <c r="GXR30" s="28"/>
      <c r="GXT30" s="55"/>
      <c r="GXU30" s="53"/>
      <c r="GXY30" s="28"/>
      <c r="GYA30" s="55"/>
      <c r="GYB30" s="53"/>
      <c r="GYF30" s="28"/>
      <c r="GYH30" s="55"/>
      <c r="GYI30" s="53"/>
      <c r="GYM30" s="28"/>
      <c r="GYO30" s="55"/>
      <c r="GYP30" s="53"/>
      <c r="GYT30" s="28"/>
      <c r="GYV30" s="55"/>
      <c r="GYW30" s="53"/>
      <c r="GZA30" s="28"/>
      <c r="GZC30" s="55"/>
      <c r="GZD30" s="53"/>
      <c r="GZH30" s="28"/>
      <c r="GZJ30" s="55"/>
      <c r="GZK30" s="53"/>
      <c r="GZO30" s="28"/>
      <c r="GZQ30" s="55"/>
      <c r="GZR30" s="53"/>
      <c r="GZV30" s="28"/>
      <c r="GZX30" s="55"/>
      <c r="GZY30" s="53"/>
      <c r="HAC30" s="28"/>
      <c r="HAE30" s="55"/>
      <c r="HAF30" s="53"/>
      <c r="HAJ30" s="28"/>
      <c r="HAL30" s="55"/>
      <c r="HAM30" s="53"/>
      <c r="HAQ30" s="28"/>
      <c r="HAS30" s="55"/>
      <c r="HAT30" s="53"/>
      <c r="HAX30" s="28"/>
      <c r="HAZ30" s="55"/>
      <c r="HBA30" s="53"/>
      <c r="HBE30" s="28"/>
      <c r="HBG30" s="55"/>
      <c r="HBH30" s="53"/>
      <c r="HBL30" s="28"/>
      <c r="HBN30" s="55"/>
      <c r="HBO30" s="53"/>
      <c r="HBS30" s="28"/>
      <c r="HBU30" s="55"/>
      <c r="HBV30" s="53"/>
      <c r="HBZ30" s="28"/>
      <c r="HCB30" s="55"/>
      <c r="HCC30" s="53"/>
      <c r="HCG30" s="28"/>
      <c r="HCI30" s="55"/>
      <c r="HCJ30" s="53"/>
      <c r="HCN30" s="28"/>
      <c r="HCP30" s="55"/>
      <c r="HCQ30" s="53"/>
      <c r="HCU30" s="28"/>
      <c r="HCW30" s="55"/>
      <c r="HCX30" s="53"/>
      <c r="HDB30" s="28"/>
      <c r="HDD30" s="55"/>
      <c r="HDE30" s="53"/>
      <c r="HDI30" s="28"/>
      <c r="HDK30" s="55"/>
      <c r="HDL30" s="53"/>
      <c r="HDP30" s="28"/>
      <c r="HDR30" s="55"/>
      <c r="HDS30" s="53"/>
      <c r="HDW30" s="28"/>
      <c r="HDY30" s="55"/>
      <c r="HDZ30" s="53"/>
      <c r="HED30" s="28"/>
      <c r="HEF30" s="55"/>
      <c r="HEG30" s="53"/>
      <c r="HEK30" s="28"/>
      <c r="HEM30" s="55"/>
      <c r="HEN30" s="53"/>
      <c r="HER30" s="28"/>
      <c r="HET30" s="55"/>
      <c r="HEU30" s="53"/>
      <c r="HEY30" s="28"/>
      <c r="HFA30" s="55"/>
      <c r="HFB30" s="53"/>
      <c r="HFF30" s="28"/>
      <c r="HFH30" s="55"/>
      <c r="HFI30" s="53"/>
      <c r="HFM30" s="28"/>
      <c r="HFO30" s="55"/>
      <c r="HFP30" s="53"/>
      <c r="HFT30" s="28"/>
      <c r="HFV30" s="55"/>
      <c r="HFW30" s="53"/>
      <c r="HGA30" s="28"/>
      <c r="HGC30" s="55"/>
      <c r="HGD30" s="53"/>
      <c r="HGH30" s="28"/>
      <c r="HGJ30" s="55"/>
      <c r="HGK30" s="53"/>
      <c r="HGO30" s="28"/>
      <c r="HGQ30" s="55"/>
      <c r="HGR30" s="53"/>
      <c r="HGV30" s="28"/>
      <c r="HGX30" s="55"/>
      <c r="HGY30" s="53"/>
      <c r="HHC30" s="28"/>
      <c r="HHE30" s="55"/>
      <c r="HHF30" s="53"/>
      <c r="HHJ30" s="28"/>
      <c r="HHL30" s="55"/>
      <c r="HHM30" s="53"/>
      <c r="HHQ30" s="28"/>
      <c r="HHS30" s="55"/>
      <c r="HHT30" s="53"/>
      <c r="HHX30" s="28"/>
      <c r="HHZ30" s="55"/>
      <c r="HIA30" s="53"/>
      <c r="HIE30" s="28"/>
      <c r="HIG30" s="55"/>
      <c r="HIH30" s="53"/>
      <c r="HIL30" s="28"/>
      <c r="HIN30" s="55"/>
      <c r="HIO30" s="53"/>
      <c r="HIS30" s="28"/>
      <c r="HIU30" s="55"/>
      <c r="HIV30" s="53"/>
      <c r="HIZ30" s="28"/>
      <c r="HJB30" s="55"/>
      <c r="HJC30" s="53"/>
      <c r="HJG30" s="28"/>
      <c r="HJI30" s="55"/>
      <c r="HJJ30" s="53"/>
      <c r="HJN30" s="28"/>
      <c r="HJP30" s="55"/>
      <c r="HJQ30" s="53"/>
      <c r="HJU30" s="28"/>
      <c r="HJW30" s="55"/>
      <c r="HJX30" s="53"/>
      <c r="HKB30" s="28"/>
      <c r="HKD30" s="55"/>
      <c r="HKE30" s="53"/>
      <c r="HKI30" s="28"/>
      <c r="HKK30" s="55"/>
      <c r="HKL30" s="53"/>
      <c r="HKP30" s="28"/>
      <c r="HKR30" s="55"/>
      <c r="HKS30" s="53"/>
      <c r="HKW30" s="28"/>
      <c r="HKY30" s="55"/>
      <c r="HKZ30" s="53"/>
      <c r="HLD30" s="28"/>
      <c r="HLF30" s="55"/>
      <c r="HLG30" s="53"/>
      <c r="HLK30" s="28"/>
      <c r="HLM30" s="55"/>
      <c r="HLN30" s="53"/>
      <c r="HLR30" s="28"/>
      <c r="HLT30" s="55"/>
      <c r="HLU30" s="53"/>
      <c r="HLY30" s="28"/>
      <c r="HMA30" s="55"/>
      <c r="HMB30" s="53"/>
      <c r="HMF30" s="28"/>
      <c r="HMH30" s="55"/>
      <c r="HMI30" s="53"/>
      <c r="HMM30" s="28"/>
      <c r="HMO30" s="55"/>
      <c r="HMP30" s="53"/>
      <c r="HMT30" s="28"/>
      <c r="HMV30" s="55"/>
      <c r="HMW30" s="53"/>
      <c r="HNA30" s="28"/>
      <c r="HNC30" s="55"/>
      <c r="HND30" s="53"/>
      <c r="HNH30" s="28"/>
      <c r="HNJ30" s="55"/>
      <c r="HNK30" s="53"/>
      <c r="HNO30" s="28"/>
      <c r="HNQ30" s="55"/>
      <c r="HNR30" s="53"/>
      <c r="HNV30" s="28"/>
      <c r="HNX30" s="55"/>
      <c r="HNY30" s="53"/>
      <c r="HOC30" s="28"/>
      <c r="HOE30" s="55"/>
      <c r="HOF30" s="53"/>
      <c r="HOJ30" s="28"/>
      <c r="HOL30" s="55"/>
      <c r="HOM30" s="53"/>
      <c r="HOQ30" s="28"/>
      <c r="HOS30" s="55"/>
      <c r="HOT30" s="53"/>
      <c r="HOX30" s="28"/>
      <c r="HOZ30" s="55"/>
      <c r="HPA30" s="53"/>
      <c r="HPE30" s="28"/>
      <c r="HPG30" s="55"/>
      <c r="HPH30" s="53"/>
      <c r="HPL30" s="28"/>
      <c r="HPN30" s="55"/>
      <c r="HPO30" s="53"/>
      <c r="HPS30" s="28"/>
      <c r="HPU30" s="55"/>
      <c r="HPV30" s="53"/>
      <c r="HPZ30" s="28"/>
      <c r="HQB30" s="55"/>
      <c r="HQC30" s="53"/>
      <c r="HQG30" s="28"/>
      <c r="HQI30" s="55"/>
      <c r="HQJ30" s="53"/>
      <c r="HQN30" s="28"/>
      <c r="HQP30" s="55"/>
      <c r="HQQ30" s="53"/>
      <c r="HQU30" s="28"/>
      <c r="HQW30" s="55"/>
      <c r="HQX30" s="53"/>
      <c r="HRB30" s="28"/>
      <c r="HRD30" s="55"/>
      <c r="HRE30" s="53"/>
      <c r="HRI30" s="28"/>
      <c r="HRK30" s="55"/>
      <c r="HRL30" s="53"/>
      <c r="HRP30" s="28"/>
      <c r="HRR30" s="55"/>
      <c r="HRS30" s="53"/>
      <c r="HRW30" s="28"/>
      <c r="HRY30" s="55"/>
      <c r="HRZ30" s="53"/>
      <c r="HSD30" s="28"/>
      <c r="HSF30" s="55"/>
      <c r="HSG30" s="53"/>
      <c r="HSK30" s="28"/>
      <c r="HSM30" s="55"/>
      <c r="HSN30" s="53"/>
      <c r="HSR30" s="28"/>
      <c r="HST30" s="55"/>
      <c r="HSU30" s="53"/>
      <c r="HSY30" s="28"/>
      <c r="HTA30" s="55"/>
      <c r="HTB30" s="53"/>
      <c r="HTF30" s="28"/>
      <c r="HTH30" s="55"/>
      <c r="HTI30" s="53"/>
      <c r="HTM30" s="28"/>
      <c r="HTO30" s="55"/>
      <c r="HTP30" s="53"/>
      <c r="HTT30" s="28"/>
      <c r="HTV30" s="55"/>
      <c r="HTW30" s="53"/>
      <c r="HUA30" s="28"/>
      <c r="HUC30" s="55"/>
      <c r="HUD30" s="53"/>
      <c r="HUH30" s="28"/>
      <c r="HUJ30" s="55"/>
      <c r="HUK30" s="53"/>
      <c r="HUO30" s="28"/>
      <c r="HUQ30" s="55"/>
      <c r="HUR30" s="53"/>
      <c r="HUV30" s="28"/>
      <c r="HUX30" s="55"/>
      <c r="HUY30" s="53"/>
      <c r="HVC30" s="28"/>
      <c r="HVE30" s="55"/>
      <c r="HVF30" s="53"/>
      <c r="HVJ30" s="28"/>
      <c r="HVL30" s="55"/>
      <c r="HVM30" s="53"/>
      <c r="HVQ30" s="28"/>
      <c r="HVS30" s="55"/>
      <c r="HVT30" s="53"/>
      <c r="HVX30" s="28"/>
      <c r="HVZ30" s="55"/>
      <c r="HWA30" s="53"/>
      <c r="HWE30" s="28"/>
      <c r="HWG30" s="55"/>
      <c r="HWH30" s="53"/>
      <c r="HWL30" s="28"/>
      <c r="HWN30" s="55"/>
      <c r="HWO30" s="53"/>
      <c r="HWS30" s="28"/>
      <c r="HWU30" s="55"/>
      <c r="HWV30" s="53"/>
      <c r="HWZ30" s="28"/>
      <c r="HXB30" s="55"/>
      <c r="HXC30" s="53"/>
      <c r="HXG30" s="28"/>
      <c r="HXI30" s="55"/>
      <c r="HXJ30" s="53"/>
      <c r="HXN30" s="28"/>
      <c r="HXP30" s="55"/>
      <c r="HXQ30" s="53"/>
      <c r="HXU30" s="28"/>
      <c r="HXW30" s="55"/>
      <c r="HXX30" s="53"/>
      <c r="HYB30" s="28"/>
      <c r="HYD30" s="55"/>
      <c r="HYE30" s="53"/>
      <c r="HYI30" s="28"/>
      <c r="HYK30" s="55"/>
      <c r="HYL30" s="53"/>
      <c r="HYP30" s="28"/>
      <c r="HYR30" s="55"/>
      <c r="HYS30" s="53"/>
      <c r="HYW30" s="28"/>
      <c r="HYY30" s="55"/>
      <c r="HYZ30" s="53"/>
      <c r="HZD30" s="28"/>
      <c r="HZF30" s="55"/>
      <c r="HZG30" s="53"/>
      <c r="HZK30" s="28"/>
      <c r="HZM30" s="55"/>
      <c r="HZN30" s="53"/>
      <c r="HZR30" s="28"/>
      <c r="HZT30" s="55"/>
      <c r="HZU30" s="53"/>
      <c r="HZY30" s="28"/>
      <c r="IAA30" s="55"/>
      <c r="IAB30" s="53"/>
      <c r="IAF30" s="28"/>
      <c r="IAH30" s="55"/>
      <c r="IAI30" s="53"/>
      <c r="IAM30" s="28"/>
      <c r="IAO30" s="55"/>
      <c r="IAP30" s="53"/>
      <c r="IAT30" s="28"/>
      <c r="IAV30" s="55"/>
      <c r="IAW30" s="53"/>
      <c r="IBA30" s="28"/>
      <c r="IBC30" s="55"/>
      <c r="IBD30" s="53"/>
      <c r="IBH30" s="28"/>
      <c r="IBJ30" s="55"/>
      <c r="IBK30" s="53"/>
      <c r="IBO30" s="28"/>
      <c r="IBQ30" s="55"/>
      <c r="IBR30" s="53"/>
      <c r="IBV30" s="28"/>
      <c r="IBX30" s="55"/>
      <c r="IBY30" s="53"/>
      <c r="ICC30" s="28"/>
      <c r="ICE30" s="55"/>
      <c r="ICF30" s="53"/>
      <c r="ICJ30" s="28"/>
      <c r="ICL30" s="55"/>
      <c r="ICM30" s="53"/>
      <c r="ICQ30" s="28"/>
      <c r="ICS30" s="55"/>
      <c r="ICT30" s="53"/>
      <c r="ICX30" s="28"/>
      <c r="ICZ30" s="55"/>
      <c r="IDA30" s="53"/>
      <c r="IDE30" s="28"/>
      <c r="IDG30" s="55"/>
      <c r="IDH30" s="53"/>
      <c r="IDL30" s="28"/>
      <c r="IDN30" s="55"/>
      <c r="IDO30" s="53"/>
      <c r="IDS30" s="28"/>
      <c r="IDU30" s="55"/>
      <c r="IDV30" s="53"/>
      <c r="IDZ30" s="28"/>
      <c r="IEB30" s="55"/>
      <c r="IEC30" s="53"/>
      <c r="IEG30" s="28"/>
      <c r="IEI30" s="55"/>
      <c r="IEJ30" s="53"/>
      <c r="IEN30" s="28"/>
      <c r="IEP30" s="55"/>
      <c r="IEQ30" s="53"/>
      <c r="IEU30" s="28"/>
      <c r="IEW30" s="55"/>
      <c r="IEX30" s="53"/>
      <c r="IFB30" s="28"/>
      <c r="IFD30" s="55"/>
      <c r="IFE30" s="53"/>
      <c r="IFI30" s="28"/>
      <c r="IFK30" s="55"/>
      <c r="IFL30" s="53"/>
      <c r="IFP30" s="28"/>
      <c r="IFR30" s="55"/>
      <c r="IFS30" s="53"/>
      <c r="IFW30" s="28"/>
      <c r="IFY30" s="55"/>
      <c r="IFZ30" s="53"/>
      <c r="IGD30" s="28"/>
      <c r="IGF30" s="55"/>
      <c r="IGG30" s="53"/>
      <c r="IGK30" s="28"/>
      <c r="IGM30" s="55"/>
      <c r="IGN30" s="53"/>
      <c r="IGR30" s="28"/>
      <c r="IGT30" s="55"/>
      <c r="IGU30" s="53"/>
      <c r="IGY30" s="28"/>
      <c r="IHA30" s="55"/>
      <c r="IHB30" s="53"/>
      <c r="IHF30" s="28"/>
      <c r="IHH30" s="55"/>
      <c r="IHI30" s="53"/>
      <c r="IHM30" s="28"/>
      <c r="IHO30" s="55"/>
      <c r="IHP30" s="53"/>
      <c r="IHT30" s="28"/>
      <c r="IHV30" s="55"/>
      <c r="IHW30" s="53"/>
      <c r="IIA30" s="28"/>
      <c r="IIC30" s="55"/>
      <c r="IID30" s="53"/>
      <c r="IIH30" s="28"/>
      <c r="IIJ30" s="55"/>
      <c r="IIK30" s="53"/>
      <c r="IIO30" s="28"/>
      <c r="IIQ30" s="55"/>
      <c r="IIR30" s="53"/>
      <c r="IIV30" s="28"/>
      <c r="IIX30" s="55"/>
      <c r="IIY30" s="53"/>
      <c r="IJC30" s="28"/>
      <c r="IJE30" s="55"/>
      <c r="IJF30" s="53"/>
      <c r="IJJ30" s="28"/>
      <c r="IJL30" s="55"/>
      <c r="IJM30" s="53"/>
      <c r="IJQ30" s="28"/>
      <c r="IJS30" s="55"/>
      <c r="IJT30" s="53"/>
      <c r="IJX30" s="28"/>
      <c r="IJZ30" s="55"/>
      <c r="IKA30" s="53"/>
      <c r="IKE30" s="28"/>
      <c r="IKG30" s="55"/>
      <c r="IKH30" s="53"/>
      <c r="IKL30" s="28"/>
      <c r="IKN30" s="55"/>
      <c r="IKO30" s="53"/>
      <c r="IKS30" s="28"/>
      <c r="IKU30" s="55"/>
      <c r="IKV30" s="53"/>
      <c r="IKZ30" s="28"/>
      <c r="ILB30" s="55"/>
      <c r="ILC30" s="53"/>
      <c r="ILG30" s="28"/>
      <c r="ILI30" s="55"/>
      <c r="ILJ30" s="53"/>
      <c r="ILN30" s="28"/>
      <c r="ILP30" s="55"/>
      <c r="ILQ30" s="53"/>
      <c r="ILU30" s="28"/>
      <c r="ILW30" s="55"/>
      <c r="ILX30" s="53"/>
      <c r="IMB30" s="28"/>
      <c r="IMD30" s="55"/>
      <c r="IME30" s="53"/>
      <c r="IMI30" s="28"/>
      <c r="IMK30" s="55"/>
      <c r="IML30" s="53"/>
      <c r="IMP30" s="28"/>
      <c r="IMR30" s="55"/>
      <c r="IMS30" s="53"/>
      <c r="IMW30" s="28"/>
      <c r="IMY30" s="55"/>
      <c r="IMZ30" s="53"/>
      <c r="IND30" s="28"/>
      <c r="INF30" s="55"/>
      <c r="ING30" s="53"/>
      <c r="INK30" s="28"/>
      <c r="INM30" s="55"/>
      <c r="INN30" s="53"/>
      <c r="INR30" s="28"/>
      <c r="INT30" s="55"/>
      <c r="INU30" s="53"/>
      <c r="INY30" s="28"/>
      <c r="IOA30" s="55"/>
      <c r="IOB30" s="53"/>
      <c r="IOF30" s="28"/>
      <c r="IOH30" s="55"/>
      <c r="IOI30" s="53"/>
      <c r="IOM30" s="28"/>
      <c r="IOO30" s="55"/>
      <c r="IOP30" s="53"/>
      <c r="IOT30" s="28"/>
      <c r="IOV30" s="55"/>
      <c r="IOW30" s="53"/>
      <c r="IPA30" s="28"/>
      <c r="IPC30" s="55"/>
      <c r="IPD30" s="53"/>
      <c r="IPH30" s="28"/>
      <c r="IPJ30" s="55"/>
      <c r="IPK30" s="53"/>
      <c r="IPO30" s="28"/>
      <c r="IPQ30" s="55"/>
      <c r="IPR30" s="53"/>
      <c r="IPV30" s="28"/>
      <c r="IPX30" s="55"/>
      <c r="IPY30" s="53"/>
      <c r="IQC30" s="28"/>
      <c r="IQE30" s="55"/>
      <c r="IQF30" s="53"/>
      <c r="IQJ30" s="28"/>
      <c r="IQL30" s="55"/>
      <c r="IQM30" s="53"/>
      <c r="IQQ30" s="28"/>
      <c r="IQS30" s="55"/>
      <c r="IQT30" s="53"/>
      <c r="IQX30" s="28"/>
      <c r="IQZ30" s="55"/>
      <c r="IRA30" s="53"/>
      <c r="IRE30" s="28"/>
      <c r="IRG30" s="55"/>
      <c r="IRH30" s="53"/>
      <c r="IRL30" s="28"/>
      <c r="IRN30" s="55"/>
      <c r="IRO30" s="53"/>
      <c r="IRS30" s="28"/>
      <c r="IRU30" s="55"/>
      <c r="IRV30" s="53"/>
      <c r="IRZ30" s="28"/>
      <c r="ISB30" s="55"/>
      <c r="ISC30" s="53"/>
      <c r="ISG30" s="28"/>
      <c r="ISI30" s="55"/>
      <c r="ISJ30" s="53"/>
      <c r="ISN30" s="28"/>
      <c r="ISP30" s="55"/>
      <c r="ISQ30" s="53"/>
      <c r="ISU30" s="28"/>
      <c r="ISW30" s="55"/>
      <c r="ISX30" s="53"/>
      <c r="ITB30" s="28"/>
      <c r="ITD30" s="55"/>
      <c r="ITE30" s="53"/>
      <c r="ITI30" s="28"/>
      <c r="ITK30" s="55"/>
      <c r="ITL30" s="53"/>
      <c r="ITP30" s="28"/>
      <c r="ITR30" s="55"/>
      <c r="ITS30" s="53"/>
      <c r="ITW30" s="28"/>
      <c r="ITY30" s="55"/>
      <c r="ITZ30" s="53"/>
      <c r="IUD30" s="28"/>
      <c r="IUF30" s="55"/>
      <c r="IUG30" s="53"/>
      <c r="IUK30" s="28"/>
      <c r="IUM30" s="55"/>
      <c r="IUN30" s="53"/>
      <c r="IUR30" s="28"/>
      <c r="IUT30" s="55"/>
      <c r="IUU30" s="53"/>
      <c r="IUY30" s="28"/>
      <c r="IVA30" s="55"/>
      <c r="IVB30" s="53"/>
      <c r="IVF30" s="28"/>
      <c r="IVH30" s="55"/>
      <c r="IVI30" s="53"/>
      <c r="IVM30" s="28"/>
      <c r="IVO30" s="55"/>
      <c r="IVP30" s="53"/>
      <c r="IVT30" s="28"/>
      <c r="IVV30" s="55"/>
      <c r="IVW30" s="53"/>
      <c r="IWA30" s="28"/>
      <c r="IWC30" s="55"/>
      <c r="IWD30" s="53"/>
      <c r="IWH30" s="28"/>
      <c r="IWJ30" s="55"/>
      <c r="IWK30" s="53"/>
      <c r="IWO30" s="28"/>
      <c r="IWQ30" s="55"/>
      <c r="IWR30" s="53"/>
      <c r="IWV30" s="28"/>
      <c r="IWX30" s="55"/>
      <c r="IWY30" s="53"/>
      <c r="IXC30" s="28"/>
      <c r="IXE30" s="55"/>
      <c r="IXF30" s="53"/>
      <c r="IXJ30" s="28"/>
      <c r="IXL30" s="55"/>
      <c r="IXM30" s="53"/>
      <c r="IXQ30" s="28"/>
      <c r="IXS30" s="55"/>
      <c r="IXT30" s="53"/>
      <c r="IXX30" s="28"/>
      <c r="IXZ30" s="55"/>
      <c r="IYA30" s="53"/>
      <c r="IYE30" s="28"/>
      <c r="IYG30" s="55"/>
      <c r="IYH30" s="53"/>
      <c r="IYL30" s="28"/>
      <c r="IYN30" s="55"/>
      <c r="IYO30" s="53"/>
      <c r="IYS30" s="28"/>
      <c r="IYU30" s="55"/>
      <c r="IYV30" s="53"/>
      <c r="IYZ30" s="28"/>
      <c r="IZB30" s="55"/>
      <c r="IZC30" s="53"/>
      <c r="IZG30" s="28"/>
      <c r="IZI30" s="55"/>
      <c r="IZJ30" s="53"/>
      <c r="IZN30" s="28"/>
      <c r="IZP30" s="55"/>
      <c r="IZQ30" s="53"/>
      <c r="IZU30" s="28"/>
      <c r="IZW30" s="55"/>
      <c r="IZX30" s="53"/>
      <c r="JAB30" s="28"/>
      <c r="JAD30" s="55"/>
      <c r="JAE30" s="53"/>
      <c r="JAI30" s="28"/>
      <c r="JAK30" s="55"/>
      <c r="JAL30" s="53"/>
      <c r="JAP30" s="28"/>
      <c r="JAR30" s="55"/>
      <c r="JAS30" s="53"/>
      <c r="JAW30" s="28"/>
      <c r="JAY30" s="55"/>
      <c r="JAZ30" s="53"/>
      <c r="JBD30" s="28"/>
      <c r="JBF30" s="55"/>
      <c r="JBG30" s="53"/>
      <c r="JBK30" s="28"/>
      <c r="JBM30" s="55"/>
      <c r="JBN30" s="53"/>
      <c r="JBR30" s="28"/>
      <c r="JBT30" s="55"/>
      <c r="JBU30" s="53"/>
      <c r="JBY30" s="28"/>
      <c r="JCA30" s="55"/>
      <c r="JCB30" s="53"/>
      <c r="JCF30" s="28"/>
      <c r="JCH30" s="55"/>
      <c r="JCI30" s="53"/>
      <c r="JCM30" s="28"/>
      <c r="JCO30" s="55"/>
      <c r="JCP30" s="53"/>
      <c r="JCT30" s="28"/>
      <c r="JCV30" s="55"/>
      <c r="JCW30" s="53"/>
      <c r="JDA30" s="28"/>
      <c r="JDC30" s="55"/>
      <c r="JDD30" s="53"/>
      <c r="JDH30" s="28"/>
      <c r="JDJ30" s="55"/>
      <c r="JDK30" s="53"/>
      <c r="JDO30" s="28"/>
      <c r="JDQ30" s="55"/>
      <c r="JDR30" s="53"/>
      <c r="JDV30" s="28"/>
      <c r="JDX30" s="55"/>
      <c r="JDY30" s="53"/>
      <c r="JEC30" s="28"/>
      <c r="JEE30" s="55"/>
      <c r="JEF30" s="53"/>
      <c r="JEJ30" s="28"/>
      <c r="JEL30" s="55"/>
      <c r="JEM30" s="53"/>
      <c r="JEQ30" s="28"/>
      <c r="JES30" s="55"/>
      <c r="JET30" s="53"/>
      <c r="JEX30" s="28"/>
      <c r="JEZ30" s="55"/>
      <c r="JFA30" s="53"/>
      <c r="JFE30" s="28"/>
      <c r="JFG30" s="55"/>
      <c r="JFH30" s="53"/>
      <c r="JFL30" s="28"/>
      <c r="JFN30" s="55"/>
      <c r="JFO30" s="53"/>
      <c r="JFS30" s="28"/>
      <c r="JFU30" s="55"/>
      <c r="JFV30" s="53"/>
      <c r="JFZ30" s="28"/>
      <c r="JGB30" s="55"/>
      <c r="JGC30" s="53"/>
      <c r="JGG30" s="28"/>
      <c r="JGI30" s="55"/>
      <c r="JGJ30" s="53"/>
      <c r="JGN30" s="28"/>
      <c r="JGP30" s="55"/>
      <c r="JGQ30" s="53"/>
      <c r="JGU30" s="28"/>
      <c r="JGW30" s="55"/>
      <c r="JGX30" s="53"/>
      <c r="JHB30" s="28"/>
      <c r="JHD30" s="55"/>
      <c r="JHE30" s="53"/>
      <c r="JHI30" s="28"/>
      <c r="JHK30" s="55"/>
      <c r="JHL30" s="53"/>
      <c r="JHP30" s="28"/>
      <c r="JHR30" s="55"/>
      <c r="JHS30" s="53"/>
      <c r="JHW30" s="28"/>
      <c r="JHY30" s="55"/>
      <c r="JHZ30" s="53"/>
      <c r="JID30" s="28"/>
      <c r="JIF30" s="55"/>
      <c r="JIG30" s="53"/>
      <c r="JIK30" s="28"/>
      <c r="JIM30" s="55"/>
      <c r="JIN30" s="53"/>
      <c r="JIR30" s="28"/>
      <c r="JIT30" s="55"/>
      <c r="JIU30" s="53"/>
      <c r="JIY30" s="28"/>
      <c r="JJA30" s="55"/>
      <c r="JJB30" s="53"/>
      <c r="JJF30" s="28"/>
      <c r="JJH30" s="55"/>
      <c r="JJI30" s="53"/>
      <c r="JJM30" s="28"/>
      <c r="JJO30" s="55"/>
      <c r="JJP30" s="53"/>
      <c r="JJT30" s="28"/>
      <c r="JJV30" s="55"/>
      <c r="JJW30" s="53"/>
      <c r="JKA30" s="28"/>
      <c r="JKC30" s="55"/>
      <c r="JKD30" s="53"/>
      <c r="JKH30" s="28"/>
      <c r="JKJ30" s="55"/>
      <c r="JKK30" s="53"/>
      <c r="JKO30" s="28"/>
      <c r="JKQ30" s="55"/>
      <c r="JKR30" s="53"/>
      <c r="JKV30" s="28"/>
      <c r="JKX30" s="55"/>
      <c r="JKY30" s="53"/>
      <c r="JLC30" s="28"/>
      <c r="JLE30" s="55"/>
      <c r="JLF30" s="53"/>
      <c r="JLJ30" s="28"/>
      <c r="JLL30" s="55"/>
      <c r="JLM30" s="53"/>
      <c r="JLQ30" s="28"/>
      <c r="JLS30" s="55"/>
      <c r="JLT30" s="53"/>
      <c r="JLX30" s="28"/>
      <c r="JLZ30" s="55"/>
      <c r="JMA30" s="53"/>
      <c r="JME30" s="28"/>
      <c r="JMG30" s="55"/>
      <c r="JMH30" s="53"/>
      <c r="JML30" s="28"/>
      <c r="JMN30" s="55"/>
      <c r="JMO30" s="53"/>
      <c r="JMS30" s="28"/>
      <c r="JMU30" s="55"/>
      <c r="JMV30" s="53"/>
      <c r="JMZ30" s="28"/>
      <c r="JNB30" s="55"/>
      <c r="JNC30" s="53"/>
      <c r="JNG30" s="28"/>
      <c r="JNI30" s="55"/>
      <c r="JNJ30" s="53"/>
      <c r="JNN30" s="28"/>
      <c r="JNP30" s="55"/>
      <c r="JNQ30" s="53"/>
      <c r="JNU30" s="28"/>
      <c r="JNW30" s="55"/>
      <c r="JNX30" s="53"/>
      <c r="JOB30" s="28"/>
      <c r="JOD30" s="55"/>
      <c r="JOE30" s="53"/>
      <c r="JOI30" s="28"/>
      <c r="JOK30" s="55"/>
      <c r="JOL30" s="53"/>
      <c r="JOP30" s="28"/>
      <c r="JOR30" s="55"/>
      <c r="JOS30" s="53"/>
      <c r="JOW30" s="28"/>
      <c r="JOY30" s="55"/>
      <c r="JOZ30" s="53"/>
      <c r="JPD30" s="28"/>
      <c r="JPF30" s="55"/>
      <c r="JPG30" s="53"/>
      <c r="JPK30" s="28"/>
      <c r="JPM30" s="55"/>
      <c r="JPN30" s="53"/>
      <c r="JPR30" s="28"/>
      <c r="JPT30" s="55"/>
      <c r="JPU30" s="53"/>
      <c r="JPY30" s="28"/>
      <c r="JQA30" s="55"/>
      <c r="JQB30" s="53"/>
      <c r="JQF30" s="28"/>
      <c r="JQH30" s="55"/>
      <c r="JQI30" s="53"/>
      <c r="JQM30" s="28"/>
      <c r="JQO30" s="55"/>
      <c r="JQP30" s="53"/>
      <c r="JQT30" s="28"/>
      <c r="JQV30" s="55"/>
      <c r="JQW30" s="53"/>
      <c r="JRA30" s="28"/>
      <c r="JRC30" s="55"/>
      <c r="JRD30" s="53"/>
      <c r="JRH30" s="28"/>
      <c r="JRJ30" s="55"/>
      <c r="JRK30" s="53"/>
      <c r="JRO30" s="28"/>
      <c r="JRQ30" s="55"/>
      <c r="JRR30" s="53"/>
      <c r="JRV30" s="28"/>
      <c r="JRX30" s="55"/>
      <c r="JRY30" s="53"/>
      <c r="JSC30" s="28"/>
      <c r="JSE30" s="55"/>
      <c r="JSF30" s="53"/>
      <c r="JSJ30" s="28"/>
      <c r="JSL30" s="55"/>
      <c r="JSM30" s="53"/>
      <c r="JSQ30" s="28"/>
      <c r="JSS30" s="55"/>
      <c r="JST30" s="53"/>
      <c r="JSX30" s="28"/>
      <c r="JSZ30" s="55"/>
      <c r="JTA30" s="53"/>
      <c r="JTE30" s="28"/>
      <c r="JTG30" s="55"/>
      <c r="JTH30" s="53"/>
      <c r="JTL30" s="28"/>
      <c r="JTN30" s="55"/>
      <c r="JTO30" s="53"/>
      <c r="JTS30" s="28"/>
      <c r="JTU30" s="55"/>
      <c r="JTV30" s="53"/>
      <c r="JTZ30" s="28"/>
      <c r="JUB30" s="55"/>
      <c r="JUC30" s="53"/>
      <c r="JUG30" s="28"/>
      <c r="JUI30" s="55"/>
      <c r="JUJ30" s="53"/>
      <c r="JUN30" s="28"/>
      <c r="JUP30" s="55"/>
      <c r="JUQ30" s="53"/>
      <c r="JUU30" s="28"/>
      <c r="JUW30" s="55"/>
      <c r="JUX30" s="53"/>
      <c r="JVB30" s="28"/>
      <c r="JVD30" s="55"/>
      <c r="JVE30" s="53"/>
      <c r="JVI30" s="28"/>
      <c r="JVK30" s="55"/>
      <c r="JVL30" s="53"/>
      <c r="JVP30" s="28"/>
      <c r="JVR30" s="55"/>
      <c r="JVS30" s="53"/>
      <c r="JVW30" s="28"/>
      <c r="JVY30" s="55"/>
      <c r="JVZ30" s="53"/>
      <c r="JWD30" s="28"/>
      <c r="JWF30" s="55"/>
      <c r="JWG30" s="53"/>
      <c r="JWK30" s="28"/>
      <c r="JWM30" s="55"/>
      <c r="JWN30" s="53"/>
      <c r="JWR30" s="28"/>
      <c r="JWT30" s="55"/>
      <c r="JWU30" s="53"/>
      <c r="JWY30" s="28"/>
      <c r="JXA30" s="55"/>
      <c r="JXB30" s="53"/>
      <c r="JXF30" s="28"/>
      <c r="JXH30" s="55"/>
      <c r="JXI30" s="53"/>
      <c r="JXM30" s="28"/>
      <c r="JXO30" s="55"/>
      <c r="JXP30" s="53"/>
      <c r="JXT30" s="28"/>
      <c r="JXV30" s="55"/>
      <c r="JXW30" s="53"/>
      <c r="JYA30" s="28"/>
      <c r="JYC30" s="55"/>
      <c r="JYD30" s="53"/>
      <c r="JYH30" s="28"/>
      <c r="JYJ30" s="55"/>
      <c r="JYK30" s="53"/>
      <c r="JYO30" s="28"/>
      <c r="JYQ30" s="55"/>
      <c r="JYR30" s="53"/>
      <c r="JYV30" s="28"/>
      <c r="JYX30" s="55"/>
      <c r="JYY30" s="53"/>
      <c r="JZC30" s="28"/>
      <c r="JZE30" s="55"/>
      <c r="JZF30" s="53"/>
      <c r="JZJ30" s="28"/>
      <c r="JZL30" s="55"/>
      <c r="JZM30" s="53"/>
      <c r="JZQ30" s="28"/>
      <c r="JZS30" s="55"/>
      <c r="JZT30" s="53"/>
      <c r="JZX30" s="28"/>
      <c r="JZZ30" s="55"/>
      <c r="KAA30" s="53"/>
      <c r="KAE30" s="28"/>
      <c r="KAG30" s="55"/>
      <c r="KAH30" s="53"/>
      <c r="KAL30" s="28"/>
      <c r="KAN30" s="55"/>
      <c r="KAO30" s="53"/>
      <c r="KAS30" s="28"/>
      <c r="KAU30" s="55"/>
      <c r="KAV30" s="53"/>
      <c r="KAZ30" s="28"/>
      <c r="KBB30" s="55"/>
      <c r="KBC30" s="53"/>
      <c r="KBG30" s="28"/>
      <c r="KBI30" s="55"/>
      <c r="KBJ30" s="53"/>
      <c r="KBN30" s="28"/>
      <c r="KBP30" s="55"/>
      <c r="KBQ30" s="53"/>
      <c r="KBU30" s="28"/>
      <c r="KBW30" s="55"/>
      <c r="KBX30" s="53"/>
      <c r="KCB30" s="28"/>
      <c r="KCD30" s="55"/>
      <c r="KCE30" s="53"/>
      <c r="KCI30" s="28"/>
      <c r="KCK30" s="55"/>
      <c r="KCL30" s="53"/>
      <c r="KCP30" s="28"/>
      <c r="KCR30" s="55"/>
      <c r="KCS30" s="53"/>
      <c r="KCW30" s="28"/>
      <c r="KCY30" s="55"/>
      <c r="KCZ30" s="53"/>
      <c r="KDD30" s="28"/>
      <c r="KDF30" s="55"/>
      <c r="KDG30" s="53"/>
      <c r="KDK30" s="28"/>
      <c r="KDM30" s="55"/>
      <c r="KDN30" s="53"/>
      <c r="KDR30" s="28"/>
      <c r="KDT30" s="55"/>
      <c r="KDU30" s="53"/>
      <c r="KDY30" s="28"/>
      <c r="KEA30" s="55"/>
      <c r="KEB30" s="53"/>
      <c r="KEF30" s="28"/>
      <c r="KEH30" s="55"/>
      <c r="KEI30" s="53"/>
      <c r="KEM30" s="28"/>
      <c r="KEO30" s="55"/>
      <c r="KEP30" s="53"/>
      <c r="KET30" s="28"/>
      <c r="KEV30" s="55"/>
      <c r="KEW30" s="53"/>
      <c r="KFA30" s="28"/>
      <c r="KFC30" s="55"/>
      <c r="KFD30" s="53"/>
      <c r="KFH30" s="28"/>
      <c r="KFJ30" s="55"/>
      <c r="KFK30" s="53"/>
      <c r="KFO30" s="28"/>
      <c r="KFQ30" s="55"/>
      <c r="KFR30" s="53"/>
      <c r="KFV30" s="28"/>
      <c r="KFX30" s="55"/>
      <c r="KFY30" s="53"/>
      <c r="KGC30" s="28"/>
      <c r="KGE30" s="55"/>
      <c r="KGF30" s="53"/>
      <c r="KGJ30" s="28"/>
      <c r="KGL30" s="55"/>
      <c r="KGM30" s="53"/>
      <c r="KGQ30" s="28"/>
      <c r="KGS30" s="55"/>
      <c r="KGT30" s="53"/>
      <c r="KGX30" s="28"/>
      <c r="KGZ30" s="55"/>
      <c r="KHA30" s="53"/>
      <c r="KHE30" s="28"/>
      <c r="KHG30" s="55"/>
      <c r="KHH30" s="53"/>
      <c r="KHL30" s="28"/>
      <c r="KHN30" s="55"/>
      <c r="KHO30" s="53"/>
      <c r="KHS30" s="28"/>
      <c r="KHU30" s="55"/>
      <c r="KHV30" s="53"/>
      <c r="KHZ30" s="28"/>
      <c r="KIB30" s="55"/>
      <c r="KIC30" s="53"/>
      <c r="KIG30" s="28"/>
      <c r="KII30" s="55"/>
      <c r="KIJ30" s="53"/>
      <c r="KIN30" s="28"/>
      <c r="KIP30" s="55"/>
      <c r="KIQ30" s="53"/>
      <c r="KIU30" s="28"/>
      <c r="KIW30" s="55"/>
      <c r="KIX30" s="53"/>
      <c r="KJB30" s="28"/>
      <c r="KJD30" s="55"/>
      <c r="KJE30" s="53"/>
      <c r="KJI30" s="28"/>
      <c r="KJK30" s="55"/>
      <c r="KJL30" s="53"/>
      <c r="KJP30" s="28"/>
      <c r="KJR30" s="55"/>
      <c r="KJS30" s="53"/>
      <c r="KJW30" s="28"/>
      <c r="KJY30" s="55"/>
      <c r="KJZ30" s="53"/>
      <c r="KKD30" s="28"/>
      <c r="KKF30" s="55"/>
      <c r="KKG30" s="53"/>
      <c r="KKK30" s="28"/>
      <c r="KKM30" s="55"/>
      <c r="KKN30" s="53"/>
      <c r="KKR30" s="28"/>
      <c r="KKT30" s="55"/>
      <c r="KKU30" s="53"/>
      <c r="KKY30" s="28"/>
      <c r="KLA30" s="55"/>
      <c r="KLB30" s="53"/>
      <c r="KLF30" s="28"/>
      <c r="KLH30" s="55"/>
      <c r="KLI30" s="53"/>
      <c r="KLM30" s="28"/>
      <c r="KLO30" s="55"/>
      <c r="KLP30" s="53"/>
      <c r="KLT30" s="28"/>
      <c r="KLV30" s="55"/>
      <c r="KLW30" s="53"/>
      <c r="KMA30" s="28"/>
      <c r="KMC30" s="55"/>
      <c r="KMD30" s="53"/>
      <c r="KMH30" s="28"/>
      <c r="KMJ30" s="55"/>
      <c r="KMK30" s="53"/>
      <c r="KMO30" s="28"/>
      <c r="KMQ30" s="55"/>
      <c r="KMR30" s="53"/>
      <c r="KMV30" s="28"/>
      <c r="KMX30" s="55"/>
      <c r="KMY30" s="53"/>
      <c r="KNC30" s="28"/>
      <c r="KNE30" s="55"/>
      <c r="KNF30" s="53"/>
      <c r="KNJ30" s="28"/>
      <c r="KNL30" s="55"/>
      <c r="KNM30" s="53"/>
      <c r="KNQ30" s="28"/>
      <c r="KNS30" s="55"/>
      <c r="KNT30" s="53"/>
      <c r="KNX30" s="28"/>
      <c r="KNZ30" s="55"/>
      <c r="KOA30" s="53"/>
      <c r="KOE30" s="28"/>
      <c r="KOG30" s="55"/>
      <c r="KOH30" s="53"/>
      <c r="KOL30" s="28"/>
      <c r="KON30" s="55"/>
      <c r="KOO30" s="53"/>
      <c r="KOS30" s="28"/>
      <c r="KOU30" s="55"/>
      <c r="KOV30" s="53"/>
      <c r="KOZ30" s="28"/>
      <c r="KPB30" s="55"/>
      <c r="KPC30" s="53"/>
      <c r="KPG30" s="28"/>
      <c r="KPI30" s="55"/>
      <c r="KPJ30" s="53"/>
      <c r="KPN30" s="28"/>
      <c r="KPP30" s="55"/>
      <c r="KPQ30" s="53"/>
      <c r="KPU30" s="28"/>
      <c r="KPW30" s="55"/>
      <c r="KPX30" s="53"/>
      <c r="KQB30" s="28"/>
      <c r="KQD30" s="55"/>
      <c r="KQE30" s="53"/>
      <c r="KQI30" s="28"/>
      <c r="KQK30" s="55"/>
      <c r="KQL30" s="53"/>
      <c r="KQP30" s="28"/>
      <c r="KQR30" s="55"/>
      <c r="KQS30" s="53"/>
      <c r="KQW30" s="28"/>
      <c r="KQY30" s="55"/>
      <c r="KQZ30" s="53"/>
      <c r="KRD30" s="28"/>
      <c r="KRF30" s="55"/>
      <c r="KRG30" s="53"/>
      <c r="KRK30" s="28"/>
      <c r="KRM30" s="55"/>
      <c r="KRN30" s="53"/>
      <c r="KRR30" s="28"/>
      <c r="KRT30" s="55"/>
      <c r="KRU30" s="53"/>
      <c r="KRY30" s="28"/>
      <c r="KSA30" s="55"/>
      <c r="KSB30" s="53"/>
      <c r="KSF30" s="28"/>
      <c r="KSH30" s="55"/>
      <c r="KSI30" s="53"/>
      <c r="KSM30" s="28"/>
      <c r="KSO30" s="55"/>
      <c r="KSP30" s="53"/>
      <c r="KST30" s="28"/>
      <c r="KSV30" s="55"/>
      <c r="KSW30" s="53"/>
      <c r="KTA30" s="28"/>
      <c r="KTC30" s="55"/>
      <c r="KTD30" s="53"/>
      <c r="KTH30" s="28"/>
      <c r="KTJ30" s="55"/>
      <c r="KTK30" s="53"/>
      <c r="KTO30" s="28"/>
      <c r="KTQ30" s="55"/>
      <c r="KTR30" s="53"/>
      <c r="KTV30" s="28"/>
      <c r="KTX30" s="55"/>
      <c r="KTY30" s="53"/>
      <c r="KUC30" s="28"/>
      <c r="KUE30" s="55"/>
      <c r="KUF30" s="53"/>
      <c r="KUJ30" s="28"/>
      <c r="KUL30" s="55"/>
      <c r="KUM30" s="53"/>
      <c r="KUQ30" s="28"/>
      <c r="KUS30" s="55"/>
      <c r="KUT30" s="53"/>
      <c r="KUX30" s="28"/>
      <c r="KUZ30" s="55"/>
      <c r="KVA30" s="53"/>
      <c r="KVE30" s="28"/>
      <c r="KVG30" s="55"/>
      <c r="KVH30" s="53"/>
      <c r="KVL30" s="28"/>
      <c r="KVN30" s="55"/>
      <c r="KVO30" s="53"/>
      <c r="KVS30" s="28"/>
      <c r="KVU30" s="55"/>
      <c r="KVV30" s="53"/>
      <c r="KVZ30" s="28"/>
      <c r="KWB30" s="55"/>
      <c r="KWC30" s="53"/>
      <c r="KWG30" s="28"/>
      <c r="KWI30" s="55"/>
      <c r="KWJ30" s="53"/>
      <c r="KWN30" s="28"/>
      <c r="KWP30" s="55"/>
      <c r="KWQ30" s="53"/>
      <c r="KWU30" s="28"/>
      <c r="KWW30" s="55"/>
      <c r="KWX30" s="53"/>
      <c r="KXB30" s="28"/>
      <c r="KXD30" s="55"/>
      <c r="KXE30" s="53"/>
      <c r="KXI30" s="28"/>
      <c r="KXK30" s="55"/>
      <c r="KXL30" s="53"/>
      <c r="KXP30" s="28"/>
      <c r="KXR30" s="55"/>
      <c r="KXS30" s="53"/>
      <c r="KXW30" s="28"/>
      <c r="KXY30" s="55"/>
      <c r="KXZ30" s="53"/>
      <c r="KYD30" s="28"/>
      <c r="KYF30" s="55"/>
      <c r="KYG30" s="53"/>
      <c r="KYK30" s="28"/>
      <c r="KYM30" s="55"/>
      <c r="KYN30" s="53"/>
      <c r="KYR30" s="28"/>
      <c r="KYT30" s="55"/>
      <c r="KYU30" s="53"/>
      <c r="KYY30" s="28"/>
      <c r="KZA30" s="55"/>
      <c r="KZB30" s="53"/>
      <c r="KZF30" s="28"/>
      <c r="KZH30" s="55"/>
      <c r="KZI30" s="53"/>
      <c r="KZM30" s="28"/>
      <c r="KZO30" s="55"/>
      <c r="KZP30" s="53"/>
      <c r="KZT30" s="28"/>
      <c r="KZV30" s="55"/>
      <c r="KZW30" s="53"/>
      <c r="LAA30" s="28"/>
      <c r="LAC30" s="55"/>
      <c r="LAD30" s="53"/>
      <c r="LAH30" s="28"/>
      <c r="LAJ30" s="55"/>
      <c r="LAK30" s="53"/>
      <c r="LAO30" s="28"/>
      <c r="LAQ30" s="55"/>
      <c r="LAR30" s="53"/>
      <c r="LAV30" s="28"/>
      <c r="LAX30" s="55"/>
      <c r="LAY30" s="53"/>
      <c r="LBC30" s="28"/>
      <c r="LBE30" s="55"/>
      <c r="LBF30" s="53"/>
      <c r="LBJ30" s="28"/>
      <c r="LBL30" s="55"/>
      <c r="LBM30" s="53"/>
      <c r="LBQ30" s="28"/>
      <c r="LBS30" s="55"/>
      <c r="LBT30" s="53"/>
      <c r="LBX30" s="28"/>
      <c r="LBZ30" s="55"/>
      <c r="LCA30" s="53"/>
      <c r="LCE30" s="28"/>
      <c r="LCG30" s="55"/>
      <c r="LCH30" s="53"/>
      <c r="LCL30" s="28"/>
      <c r="LCN30" s="55"/>
      <c r="LCO30" s="53"/>
      <c r="LCS30" s="28"/>
      <c r="LCU30" s="55"/>
      <c r="LCV30" s="53"/>
      <c r="LCZ30" s="28"/>
      <c r="LDB30" s="55"/>
      <c r="LDC30" s="53"/>
      <c r="LDG30" s="28"/>
      <c r="LDI30" s="55"/>
      <c r="LDJ30" s="53"/>
      <c r="LDN30" s="28"/>
      <c r="LDP30" s="55"/>
      <c r="LDQ30" s="53"/>
      <c r="LDU30" s="28"/>
      <c r="LDW30" s="55"/>
      <c r="LDX30" s="53"/>
      <c r="LEB30" s="28"/>
      <c r="LED30" s="55"/>
      <c r="LEE30" s="53"/>
      <c r="LEI30" s="28"/>
      <c r="LEK30" s="55"/>
      <c r="LEL30" s="53"/>
      <c r="LEP30" s="28"/>
      <c r="LER30" s="55"/>
      <c r="LES30" s="53"/>
      <c r="LEW30" s="28"/>
      <c r="LEY30" s="55"/>
      <c r="LEZ30" s="53"/>
      <c r="LFD30" s="28"/>
      <c r="LFF30" s="55"/>
      <c r="LFG30" s="53"/>
      <c r="LFK30" s="28"/>
      <c r="LFM30" s="55"/>
      <c r="LFN30" s="53"/>
      <c r="LFR30" s="28"/>
      <c r="LFT30" s="55"/>
      <c r="LFU30" s="53"/>
      <c r="LFY30" s="28"/>
      <c r="LGA30" s="55"/>
      <c r="LGB30" s="53"/>
      <c r="LGF30" s="28"/>
      <c r="LGH30" s="55"/>
      <c r="LGI30" s="53"/>
      <c r="LGM30" s="28"/>
      <c r="LGO30" s="55"/>
      <c r="LGP30" s="53"/>
      <c r="LGT30" s="28"/>
      <c r="LGV30" s="55"/>
      <c r="LGW30" s="53"/>
      <c r="LHA30" s="28"/>
      <c r="LHC30" s="55"/>
      <c r="LHD30" s="53"/>
      <c r="LHH30" s="28"/>
      <c r="LHJ30" s="55"/>
      <c r="LHK30" s="53"/>
      <c r="LHO30" s="28"/>
      <c r="LHQ30" s="55"/>
      <c r="LHR30" s="53"/>
      <c r="LHV30" s="28"/>
      <c r="LHX30" s="55"/>
      <c r="LHY30" s="53"/>
      <c r="LIC30" s="28"/>
      <c r="LIE30" s="55"/>
      <c r="LIF30" s="53"/>
      <c r="LIJ30" s="28"/>
      <c r="LIL30" s="55"/>
      <c r="LIM30" s="53"/>
      <c r="LIQ30" s="28"/>
      <c r="LIS30" s="55"/>
      <c r="LIT30" s="53"/>
      <c r="LIX30" s="28"/>
      <c r="LIZ30" s="55"/>
      <c r="LJA30" s="53"/>
      <c r="LJE30" s="28"/>
      <c r="LJG30" s="55"/>
      <c r="LJH30" s="53"/>
      <c r="LJL30" s="28"/>
      <c r="LJN30" s="55"/>
      <c r="LJO30" s="53"/>
      <c r="LJS30" s="28"/>
      <c r="LJU30" s="55"/>
      <c r="LJV30" s="53"/>
      <c r="LJZ30" s="28"/>
      <c r="LKB30" s="55"/>
      <c r="LKC30" s="53"/>
      <c r="LKG30" s="28"/>
      <c r="LKI30" s="55"/>
      <c r="LKJ30" s="53"/>
      <c r="LKN30" s="28"/>
      <c r="LKP30" s="55"/>
      <c r="LKQ30" s="53"/>
      <c r="LKU30" s="28"/>
      <c r="LKW30" s="55"/>
      <c r="LKX30" s="53"/>
      <c r="LLB30" s="28"/>
      <c r="LLD30" s="55"/>
      <c r="LLE30" s="53"/>
      <c r="LLI30" s="28"/>
      <c r="LLK30" s="55"/>
      <c r="LLL30" s="53"/>
      <c r="LLP30" s="28"/>
      <c r="LLR30" s="55"/>
      <c r="LLS30" s="53"/>
      <c r="LLW30" s="28"/>
      <c r="LLY30" s="55"/>
      <c r="LLZ30" s="53"/>
      <c r="LMD30" s="28"/>
      <c r="LMF30" s="55"/>
      <c r="LMG30" s="53"/>
      <c r="LMK30" s="28"/>
      <c r="LMM30" s="55"/>
      <c r="LMN30" s="53"/>
      <c r="LMR30" s="28"/>
      <c r="LMT30" s="55"/>
      <c r="LMU30" s="53"/>
      <c r="LMY30" s="28"/>
      <c r="LNA30" s="55"/>
      <c r="LNB30" s="53"/>
      <c r="LNF30" s="28"/>
      <c r="LNH30" s="55"/>
      <c r="LNI30" s="53"/>
      <c r="LNM30" s="28"/>
      <c r="LNO30" s="55"/>
      <c r="LNP30" s="53"/>
      <c r="LNT30" s="28"/>
      <c r="LNV30" s="55"/>
      <c r="LNW30" s="53"/>
      <c r="LOA30" s="28"/>
      <c r="LOC30" s="55"/>
      <c r="LOD30" s="53"/>
      <c r="LOH30" s="28"/>
      <c r="LOJ30" s="55"/>
      <c r="LOK30" s="53"/>
      <c r="LOO30" s="28"/>
      <c r="LOQ30" s="55"/>
      <c r="LOR30" s="53"/>
      <c r="LOV30" s="28"/>
      <c r="LOX30" s="55"/>
      <c r="LOY30" s="53"/>
      <c r="LPC30" s="28"/>
      <c r="LPE30" s="55"/>
      <c r="LPF30" s="53"/>
      <c r="LPJ30" s="28"/>
      <c r="LPL30" s="55"/>
      <c r="LPM30" s="53"/>
      <c r="LPQ30" s="28"/>
      <c r="LPS30" s="55"/>
      <c r="LPT30" s="53"/>
      <c r="LPX30" s="28"/>
      <c r="LPZ30" s="55"/>
      <c r="LQA30" s="53"/>
      <c r="LQE30" s="28"/>
      <c r="LQG30" s="55"/>
      <c r="LQH30" s="53"/>
      <c r="LQL30" s="28"/>
      <c r="LQN30" s="55"/>
      <c r="LQO30" s="53"/>
      <c r="LQS30" s="28"/>
      <c r="LQU30" s="55"/>
      <c r="LQV30" s="53"/>
      <c r="LQZ30" s="28"/>
      <c r="LRB30" s="55"/>
      <c r="LRC30" s="53"/>
      <c r="LRG30" s="28"/>
      <c r="LRI30" s="55"/>
      <c r="LRJ30" s="53"/>
      <c r="LRN30" s="28"/>
      <c r="LRP30" s="55"/>
      <c r="LRQ30" s="53"/>
      <c r="LRU30" s="28"/>
      <c r="LRW30" s="55"/>
      <c r="LRX30" s="53"/>
      <c r="LSB30" s="28"/>
      <c r="LSD30" s="55"/>
      <c r="LSE30" s="53"/>
      <c r="LSI30" s="28"/>
      <c r="LSK30" s="55"/>
      <c r="LSL30" s="53"/>
      <c r="LSP30" s="28"/>
      <c r="LSR30" s="55"/>
      <c r="LSS30" s="53"/>
      <c r="LSW30" s="28"/>
      <c r="LSY30" s="55"/>
      <c r="LSZ30" s="53"/>
      <c r="LTD30" s="28"/>
      <c r="LTF30" s="55"/>
      <c r="LTG30" s="53"/>
      <c r="LTK30" s="28"/>
      <c r="LTM30" s="55"/>
      <c r="LTN30" s="53"/>
      <c r="LTR30" s="28"/>
      <c r="LTT30" s="55"/>
      <c r="LTU30" s="53"/>
      <c r="LTY30" s="28"/>
      <c r="LUA30" s="55"/>
      <c r="LUB30" s="53"/>
      <c r="LUF30" s="28"/>
      <c r="LUH30" s="55"/>
      <c r="LUI30" s="53"/>
      <c r="LUM30" s="28"/>
      <c r="LUO30" s="55"/>
      <c r="LUP30" s="53"/>
      <c r="LUT30" s="28"/>
      <c r="LUV30" s="55"/>
      <c r="LUW30" s="53"/>
      <c r="LVA30" s="28"/>
      <c r="LVC30" s="55"/>
      <c r="LVD30" s="53"/>
      <c r="LVH30" s="28"/>
      <c r="LVJ30" s="55"/>
      <c r="LVK30" s="53"/>
      <c r="LVO30" s="28"/>
      <c r="LVQ30" s="55"/>
      <c r="LVR30" s="53"/>
      <c r="LVV30" s="28"/>
      <c r="LVX30" s="55"/>
      <c r="LVY30" s="53"/>
      <c r="LWC30" s="28"/>
      <c r="LWE30" s="55"/>
      <c r="LWF30" s="53"/>
      <c r="LWJ30" s="28"/>
      <c r="LWL30" s="55"/>
      <c r="LWM30" s="53"/>
      <c r="LWQ30" s="28"/>
      <c r="LWS30" s="55"/>
      <c r="LWT30" s="53"/>
      <c r="LWX30" s="28"/>
      <c r="LWZ30" s="55"/>
      <c r="LXA30" s="53"/>
      <c r="LXE30" s="28"/>
      <c r="LXG30" s="55"/>
      <c r="LXH30" s="53"/>
      <c r="LXL30" s="28"/>
      <c r="LXN30" s="55"/>
      <c r="LXO30" s="53"/>
      <c r="LXS30" s="28"/>
      <c r="LXU30" s="55"/>
      <c r="LXV30" s="53"/>
      <c r="LXZ30" s="28"/>
      <c r="LYB30" s="55"/>
      <c r="LYC30" s="53"/>
      <c r="LYG30" s="28"/>
      <c r="LYI30" s="55"/>
      <c r="LYJ30" s="53"/>
      <c r="LYN30" s="28"/>
      <c r="LYP30" s="55"/>
      <c r="LYQ30" s="53"/>
      <c r="LYU30" s="28"/>
      <c r="LYW30" s="55"/>
      <c r="LYX30" s="53"/>
      <c r="LZB30" s="28"/>
      <c r="LZD30" s="55"/>
      <c r="LZE30" s="53"/>
      <c r="LZI30" s="28"/>
      <c r="LZK30" s="55"/>
      <c r="LZL30" s="53"/>
      <c r="LZP30" s="28"/>
      <c r="LZR30" s="55"/>
      <c r="LZS30" s="53"/>
      <c r="LZW30" s="28"/>
      <c r="LZY30" s="55"/>
      <c r="LZZ30" s="53"/>
      <c r="MAD30" s="28"/>
      <c r="MAF30" s="55"/>
      <c r="MAG30" s="53"/>
      <c r="MAK30" s="28"/>
      <c r="MAM30" s="55"/>
      <c r="MAN30" s="53"/>
      <c r="MAR30" s="28"/>
      <c r="MAT30" s="55"/>
      <c r="MAU30" s="53"/>
      <c r="MAY30" s="28"/>
      <c r="MBA30" s="55"/>
      <c r="MBB30" s="53"/>
      <c r="MBF30" s="28"/>
      <c r="MBH30" s="55"/>
      <c r="MBI30" s="53"/>
      <c r="MBM30" s="28"/>
      <c r="MBO30" s="55"/>
      <c r="MBP30" s="53"/>
      <c r="MBT30" s="28"/>
      <c r="MBV30" s="55"/>
      <c r="MBW30" s="53"/>
      <c r="MCA30" s="28"/>
      <c r="MCC30" s="55"/>
      <c r="MCD30" s="53"/>
      <c r="MCH30" s="28"/>
      <c r="MCJ30" s="55"/>
      <c r="MCK30" s="53"/>
      <c r="MCO30" s="28"/>
      <c r="MCQ30" s="55"/>
      <c r="MCR30" s="53"/>
      <c r="MCV30" s="28"/>
      <c r="MCX30" s="55"/>
      <c r="MCY30" s="53"/>
      <c r="MDC30" s="28"/>
      <c r="MDE30" s="55"/>
      <c r="MDF30" s="53"/>
      <c r="MDJ30" s="28"/>
      <c r="MDL30" s="55"/>
      <c r="MDM30" s="53"/>
      <c r="MDQ30" s="28"/>
      <c r="MDS30" s="55"/>
      <c r="MDT30" s="53"/>
      <c r="MDX30" s="28"/>
      <c r="MDZ30" s="55"/>
      <c r="MEA30" s="53"/>
      <c r="MEE30" s="28"/>
      <c r="MEG30" s="55"/>
      <c r="MEH30" s="53"/>
      <c r="MEL30" s="28"/>
      <c r="MEN30" s="55"/>
      <c r="MEO30" s="53"/>
      <c r="MES30" s="28"/>
      <c r="MEU30" s="55"/>
      <c r="MEV30" s="53"/>
      <c r="MEZ30" s="28"/>
      <c r="MFB30" s="55"/>
      <c r="MFC30" s="53"/>
      <c r="MFG30" s="28"/>
      <c r="MFI30" s="55"/>
      <c r="MFJ30" s="53"/>
      <c r="MFN30" s="28"/>
      <c r="MFP30" s="55"/>
      <c r="MFQ30" s="53"/>
      <c r="MFU30" s="28"/>
      <c r="MFW30" s="55"/>
      <c r="MFX30" s="53"/>
      <c r="MGB30" s="28"/>
      <c r="MGD30" s="55"/>
      <c r="MGE30" s="53"/>
      <c r="MGI30" s="28"/>
      <c r="MGK30" s="55"/>
      <c r="MGL30" s="53"/>
      <c r="MGP30" s="28"/>
      <c r="MGR30" s="55"/>
      <c r="MGS30" s="53"/>
      <c r="MGW30" s="28"/>
      <c r="MGY30" s="55"/>
      <c r="MGZ30" s="53"/>
      <c r="MHD30" s="28"/>
      <c r="MHF30" s="55"/>
      <c r="MHG30" s="53"/>
      <c r="MHK30" s="28"/>
      <c r="MHM30" s="55"/>
      <c r="MHN30" s="53"/>
      <c r="MHR30" s="28"/>
      <c r="MHT30" s="55"/>
      <c r="MHU30" s="53"/>
      <c r="MHY30" s="28"/>
      <c r="MIA30" s="55"/>
      <c r="MIB30" s="53"/>
      <c r="MIF30" s="28"/>
      <c r="MIH30" s="55"/>
      <c r="MII30" s="53"/>
      <c r="MIM30" s="28"/>
      <c r="MIO30" s="55"/>
      <c r="MIP30" s="53"/>
      <c r="MIT30" s="28"/>
      <c r="MIV30" s="55"/>
      <c r="MIW30" s="53"/>
      <c r="MJA30" s="28"/>
      <c r="MJC30" s="55"/>
      <c r="MJD30" s="53"/>
      <c r="MJH30" s="28"/>
      <c r="MJJ30" s="55"/>
      <c r="MJK30" s="53"/>
      <c r="MJO30" s="28"/>
      <c r="MJQ30" s="55"/>
      <c r="MJR30" s="53"/>
      <c r="MJV30" s="28"/>
      <c r="MJX30" s="55"/>
      <c r="MJY30" s="53"/>
      <c r="MKC30" s="28"/>
      <c r="MKE30" s="55"/>
      <c r="MKF30" s="53"/>
      <c r="MKJ30" s="28"/>
      <c r="MKL30" s="55"/>
      <c r="MKM30" s="53"/>
      <c r="MKQ30" s="28"/>
      <c r="MKS30" s="55"/>
      <c r="MKT30" s="53"/>
      <c r="MKX30" s="28"/>
      <c r="MKZ30" s="55"/>
      <c r="MLA30" s="53"/>
      <c r="MLE30" s="28"/>
      <c r="MLG30" s="55"/>
      <c r="MLH30" s="53"/>
      <c r="MLL30" s="28"/>
      <c r="MLN30" s="55"/>
      <c r="MLO30" s="53"/>
      <c r="MLS30" s="28"/>
      <c r="MLU30" s="55"/>
      <c r="MLV30" s="53"/>
      <c r="MLZ30" s="28"/>
      <c r="MMB30" s="55"/>
      <c r="MMC30" s="53"/>
      <c r="MMG30" s="28"/>
      <c r="MMI30" s="55"/>
      <c r="MMJ30" s="53"/>
      <c r="MMN30" s="28"/>
      <c r="MMP30" s="55"/>
      <c r="MMQ30" s="53"/>
      <c r="MMU30" s="28"/>
      <c r="MMW30" s="55"/>
      <c r="MMX30" s="53"/>
      <c r="MNB30" s="28"/>
      <c r="MND30" s="55"/>
      <c r="MNE30" s="53"/>
      <c r="MNI30" s="28"/>
      <c r="MNK30" s="55"/>
      <c r="MNL30" s="53"/>
      <c r="MNP30" s="28"/>
      <c r="MNR30" s="55"/>
      <c r="MNS30" s="53"/>
      <c r="MNW30" s="28"/>
      <c r="MNY30" s="55"/>
      <c r="MNZ30" s="53"/>
      <c r="MOD30" s="28"/>
      <c r="MOF30" s="55"/>
      <c r="MOG30" s="53"/>
      <c r="MOK30" s="28"/>
      <c r="MOM30" s="55"/>
      <c r="MON30" s="53"/>
      <c r="MOR30" s="28"/>
      <c r="MOT30" s="55"/>
      <c r="MOU30" s="53"/>
      <c r="MOY30" s="28"/>
      <c r="MPA30" s="55"/>
      <c r="MPB30" s="53"/>
      <c r="MPF30" s="28"/>
      <c r="MPH30" s="55"/>
      <c r="MPI30" s="53"/>
      <c r="MPM30" s="28"/>
      <c r="MPO30" s="55"/>
      <c r="MPP30" s="53"/>
      <c r="MPT30" s="28"/>
      <c r="MPV30" s="55"/>
      <c r="MPW30" s="53"/>
      <c r="MQA30" s="28"/>
      <c r="MQC30" s="55"/>
      <c r="MQD30" s="53"/>
      <c r="MQH30" s="28"/>
      <c r="MQJ30" s="55"/>
      <c r="MQK30" s="53"/>
      <c r="MQO30" s="28"/>
      <c r="MQQ30" s="55"/>
      <c r="MQR30" s="53"/>
      <c r="MQV30" s="28"/>
      <c r="MQX30" s="55"/>
      <c r="MQY30" s="53"/>
      <c r="MRC30" s="28"/>
      <c r="MRE30" s="55"/>
      <c r="MRF30" s="53"/>
      <c r="MRJ30" s="28"/>
      <c r="MRL30" s="55"/>
      <c r="MRM30" s="53"/>
      <c r="MRQ30" s="28"/>
      <c r="MRS30" s="55"/>
      <c r="MRT30" s="53"/>
      <c r="MRX30" s="28"/>
      <c r="MRZ30" s="55"/>
      <c r="MSA30" s="53"/>
      <c r="MSE30" s="28"/>
      <c r="MSG30" s="55"/>
      <c r="MSH30" s="53"/>
      <c r="MSL30" s="28"/>
      <c r="MSN30" s="55"/>
      <c r="MSO30" s="53"/>
      <c r="MSS30" s="28"/>
      <c r="MSU30" s="55"/>
      <c r="MSV30" s="53"/>
      <c r="MSZ30" s="28"/>
      <c r="MTB30" s="55"/>
      <c r="MTC30" s="53"/>
      <c r="MTG30" s="28"/>
      <c r="MTI30" s="55"/>
      <c r="MTJ30" s="53"/>
      <c r="MTN30" s="28"/>
      <c r="MTP30" s="55"/>
      <c r="MTQ30" s="53"/>
      <c r="MTU30" s="28"/>
      <c r="MTW30" s="55"/>
      <c r="MTX30" s="53"/>
      <c r="MUB30" s="28"/>
      <c r="MUD30" s="55"/>
      <c r="MUE30" s="53"/>
      <c r="MUI30" s="28"/>
      <c r="MUK30" s="55"/>
      <c r="MUL30" s="53"/>
      <c r="MUP30" s="28"/>
      <c r="MUR30" s="55"/>
      <c r="MUS30" s="53"/>
      <c r="MUW30" s="28"/>
      <c r="MUY30" s="55"/>
      <c r="MUZ30" s="53"/>
      <c r="MVD30" s="28"/>
      <c r="MVF30" s="55"/>
      <c r="MVG30" s="53"/>
      <c r="MVK30" s="28"/>
      <c r="MVM30" s="55"/>
      <c r="MVN30" s="53"/>
      <c r="MVR30" s="28"/>
      <c r="MVT30" s="55"/>
      <c r="MVU30" s="53"/>
      <c r="MVY30" s="28"/>
      <c r="MWA30" s="55"/>
      <c r="MWB30" s="53"/>
      <c r="MWF30" s="28"/>
      <c r="MWH30" s="55"/>
      <c r="MWI30" s="53"/>
      <c r="MWM30" s="28"/>
      <c r="MWO30" s="55"/>
      <c r="MWP30" s="53"/>
      <c r="MWT30" s="28"/>
      <c r="MWV30" s="55"/>
      <c r="MWW30" s="53"/>
      <c r="MXA30" s="28"/>
      <c r="MXC30" s="55"/>
      <c r="MXD30" s="53"/>
      <c r="MXH30" s="28"/>
      <c r="MXJ30" s="55"/>
      <c r="MXK30" s="53"/>
      <c r="MXO30" s="28"/>
      <c r="MXQ30" s="55"/>
      <c r="MXR30" s="53"/>
      <c r="MXV30" s="28"/>
      <c r="MXX30" s="55"/>
      <c r="MXY30" s="53"/>
      <c r="MYC30" s="28"/>
      <c r="MYE30" s="55"/>
      <c r="MYF30" s="53"/>
      <c r="MYJ30" s="28"/>
      <c r="MYL30" s="55"/>
      <c r="MYM30" s="53"/>
      <c r="MYQ30" s="28"/>
      <c r="MYS30" s="55"/>
      <c r="MYT30" s="53"/>
      <c r="MYX30" s="28"/>
      <c r="MYZ30" s="55"/>
      <c r="MZA30" s="53"/>
      <c r="MZE30" s="28"/>
      <c r="MZG30" s="55"/>
      <c r="MZH30" s="53"/>
      <c r="MZL30" s="28"/>
      <c r="MZN30" s="55"/>
      <c r="MZO30" s="53"/>
      <c r="MZS30" s="28"/>
      <c r="MZU30" s="55"/>
      <c r="MZV30" s="53"/>
      <c r="MZZ30" s="28"/>
      <c r="NAB30" s="55"/>
      <c r="NAC30" s="53"/>
      <c r="NAG30" s="28"/>
      <c r="NAI30" s="55"/>
      <c r="NAJ30" s="53"/>
      <c r="NAN30" s="28"/>
      <c r="NAP30" s="55"/>
      <c r="NAQ30" s="53"/>
      <c r="NAU30" s="28"/>
      <c r="NAW30" s="55"/>
      <c r="NAX30" s="53"/>
      <c r="NBB30" s="28"/>
      <c r="NBD30" s="55"/>
      <c r="NBE30" s="53"/>
      <c r="NBI30" s="28"/>
      <c r="NBK30" s="55"/>
      <c r="NBL30" s="53"/>
      <c r="NBP30" s="28"/>
      <c r="NBR30" s="55"/>
      <c r="NBS30" s="53"/>
      <c r="NBW30" s="28"/>
      <c r="NBY30" s="55"/>
      <c r="NBZ30" s="53"/>
      <c r="NCD30" s="28"/>
      <c r="NCF30" s="55"/>
      <c r="NCG30" s="53"/>
      <c r="NCK30" s="28"/>
      <c r="NCM30" s="55"/>
      <c r="NCN30" s="53"/>
      <c r="NCR30" s="28"/>
      <c r="NCT30" s="55"/>
      <c r="NCU30" s="53"/>
      <c r="NCY30" s="28"/>
      <c r="NDA30" s="55"/>
      <c r="NDB30" s="53"/>
      <c r="NDF30" s="28"/>
      <c r="NDH30" s="55"/>
      <c r="NDI30" s="53"/>
      <c r="NDM30" s="28"/>
      <c r="NDO30" s="55"/>
      <c r="NDP30" s="53"/>
      <c r="NDT30" s="28"/>
      <c r="NDV30" s="55"/>
      <c r="NDW30" s="53"/>
      <c r="NEA30" s="28"/>
      <c r="NEC30" s="55"/>
      <c r="NED30" s="53"/>
      <c r="NEH30" s="28"/>
      <c r="NEJ30" s="55"/>
      <c r="NEK30" s="53"/>
      <c r="NEO30" s="28"/>
      <c r="NEQ30" s="55"/>
      <c r="NER30" s="53"/>
      <c r="NEV30" s="28"/>
      <c r="NEX30" s="55"/>
      <c r="NEY30" s="53"/>
      <c r="NFC30" s="28"/>
      <c r="NFE30" s="55"/>
      <c r="NFF30" s="53"/>
      <c r="NFJ30" s="28"/>
      <c r="NFL30" s="55"/>
      <c r="NFM30" s="53"/>
      <c r="NFQ30" s="28"/>
      <c r="NFS30" s="55"/>
      <c r="NFT30" s="53"/>
      <c r="NFX30" s="28"/>
      <c r="NFZ30" s="55"/>
      <c r="NGA30" s="53"/>
      <c r="NGE30" s="28"/>
      <c r="NGG30" s="55"/>
      <c r="NGH30" s="53"/>
      <c r="NGL30" s="28"/>
      <c r="NGN30" s="55"/>
      <c r="NGO30" s="53"/>
      <c r="NGS30" s="28"/>
      <c r="NGU30" s="55"/>
      <c r="NGV30" s="53"/>
      <c r="NGZ30" s="28"/>
      <c r="NHB30" s="55"/>
      <c r="NHC30" s="53"/>
      <c r="NHG30" s="28"/>
      <c r="NHI30" s="55"/>
      <c r="NHJ30" s="53"/>
      <c r="NHN30" s="28"/>
      <c r="NHP30" s="55"/>
      <c r="NHQ30" s="53"/>
      <c r="NHU30" s="28"/>
      <c r="NHW30" s="55"/>
      <c r="NHX30" s="53"/>
      <c r="NIB30" s="28"/>
      <c r="NID30" s="55"/>
      <c r="NIE30" s="53"/>
      <c r="NII30" s="28"/>
      <c r="NIK30" s="55"/>
      <c r="NIL30" s="53"/>
      <c r="NIP30" s="28"/>
      <c r="NIR30" s="55"/>
      <c r="NIS30" s="53"/>
      <c r="NIW30" s="28"/>
      <c r="NIY30" s="55"/>
      <c r="NIZ30" s="53"/>
      <c r="NJD30" s="28"/>
      <c r="NJF30" s="55"/>
      <c r="NJG30" s="53"/>
      <c r="NJK30" s="28"/>
      <c r="NJM30" s="55"/>
      <c r="NJN30" s="53"/>
      <c r="NJR30" s="28"/>
      <c r="NJT30" s="55"/>
      <c r="NJU30" s="53"/>
      <c r="NJY30" s="28"/>
      <c r="NKA30" s="55"/>
      <c r="NKB30" s="53"/>
      <c r="NKF30" s="28"/>
      <c r="NKH30" s="55"/>
      <c r="NKI30" s="53"/>
      <c r="NKM30" s="28"/>
      <c r="NKO30" s="55"/>
      <c r="NKP30" s="53"/>
      <c r="NKT30" s="28"/>
      <c r="NKV30" s="55"/>
      <c r="NKW30" s="53"/>
      <c r="NLA30" s="28"/>
      <c r="NLC30" s="55"/>
      <c r="NLD30" s="53"/>
      <c r="NLH30" s="28"/>
      <c r="NLJ30" s="55"/>
      <c r="NLK30" s="53"/>
      <c r="NLO30" s="28"/>
      <c r="NLQ30" s="55"/>
      <c r="NLR30" s="53"/>
      <c r="NLV30" s="28"/>
      <c r="NLX30" s="55"/>
      <c r="NLY30" s="53"/>
      <c r="NMC30" s="28"/>
      <c r="NME30" s="55"/>
      <c r="NMF30" s="53"/>
      <c r="NMJ30" s="28"/>
      <c r="NML30" s="55"/>
      <c r="NMM30" s="53"/>
      <c r="NMQ30" s="28"/>
      <c r="NMS30" s="55"/>
      <c r="NMT30" s="53"/>
      <c r="NMX30" s="28"/>
      <c r="NMZ30" s="55"/>
      <c r="NNA30" s="53"/>
      <c r="NNE30" s="28"/>
      <c r="NNG30" s="55"/>
      <c r="NNH30" s="53"/>
      <c r="NNL30" s="28"/>
      <c r="NNN30" s="55"/>
      <c r="NNO30" s="53"/>
      <c r="NNS30" s="28"/>
      <c r="NNU30" s="55"/>
      <c r="NNV30" s="53"/>
      <c r="NNZ30" s="28"/>
      <c r="NOB30" s="55"/>
      <c r="NOC30" s="53"/>
      <c r="NOG30" s="28"/>
      <c r="NOI30" s="55"/>
      <c r="NOJ30" s="53"/>
      <c r="NON30" s="28"/>
      <c r="NOP30" s="55"/>
      <c r="NOQ30" s="53"/>
      <c r="NOU30" s="28"/>
      <c r="NOW30" s="55"/>
      <c r="NOX30" s="53"/>
      <c r="NPB30" s="28"/>
      <c r="NPD30" s="55"/>
      <c r="NPE30" s="53"/>
      <c r="NPI30" s="28"/>
      <c r="NPK30" s="55"/>
      <c r="NPL30" s="53"/>
      <c r="NPP30" s="28"/>
      <c r="NPR30" s="55"/>
      <c r="NPS30" s="53"/>
      <c r="NPW30" s="28"/>
      <c r="NPY30" s="55"/>
      <c r="NPZ30" s="53"/>
      <c r="NQD30" s="28"/>
      <c r="NQF30" s="55"/>
      <c r="NQG30" s="53"/>
      <c r="NQK30" s="28"/>
      <c r="NQM30" s="55"/>
      <c r="NQN30" s="53"/>
      <c r="NQR30" s="28"/>
      <c r="NQT30" s="55"/>
      <c r="NQU30" s="53"/>
      <c r="NQY30" s="28"/>
      <c r="NRA30" s="55"/>
      <c r="NRB30" s="53"/>
      <c r="NRF30" s="28"/>
      <c r="NRH30" s="55"/>
      <c r="NRI30" s="53"/>
      <c r="NRM30" s="28"/>
      <c r="NRO30" s="55"/>
      <c r="NRP30" s="53"/>
      <c r="NRT30" s="28"/>
      <c r="NRV30" s="55"/>
      <c r="NRW30" s="53"/>
      <c r="NSA30" s="28"/>
      <c r="NSC30" s="55"/>
      <c r="NSD30" s="53"/>
      <c r="NSH30" s="28"/>
      <c r="NSJ30" s="55"/>
      <c r="NSK30" s="53"/>
      <c r="NSO30" s="28"/>
      <c r="NSQ30" s="55"/>
      <c r="NSR30" s="53"/>
      <c r="NSV30" s="28"/>
      <c r="NSX30" s="55"/>
      <c r="NSY30" s="53"/>
      <c r="NTC30" s="28"/>
      <c r="NTE30" s="55"/>
      <c r="NTF30" s="53"/>
      <c r="NTJ30" s="28"/>
      <c r="NTL30" s="55"/>
      <c r="NTM30" s="53"/>
      <c r="NTQ30" s="28"/>
      <c r="NTS30" s="55"/>
      <c r="NTT30" s="53"/>
      <c r="NTX30" s="28"/>
      <c r="NTZ30" s="55"/>
      <c r="NUA30" s="53"/>
      <c r="NUE30" s="28"/>
      <c r="NUG30" s="55"/>
      <c r="NUH30" s="53"/>
      <c r="NUL30" s="28"/>
      <c r="NUN30" s="55"/>
      <c r="NUO30" s="53"/>
      <c r="NUS30" s="28"/>
      <c r="NUU30" s="55"/>
      <c r="NUV30" s="53"/>
      <c r="NUZ30" s="28"/>
      <c r="NVB30" s="55"/>
      <c r="NVC30" s="53"/>
      <c r="NVG30" s="28"/>
      <c r="NVI30" s="55"/>
      <c r="NVJ30" s="53"/>
      <c r="NVN30" s="28"/>
      <c r="NVP30" s="55"/>
      <c r="NVQ30" s="53"/>
      <c r="NVU30" s="28"/>
      <c r="NVW30" s="55"/>
      <c r="NVX30" s="53"/>
      <c r="NWB30" s="28"/>
      <c r="NWD30" s="55"/>
      <c r="NWE30" s="53"/>
      <c r="NWI30" s="28"/>
      <c r="NWK30" s="55"/>
      <c r="NWL30" s="53"/>
      <c r="NWP30" s="28"/>
      <c r="NWR30" s="55"/>
      <c r="NWS30" s="53"/>
      <c r="NWW30" s="28"/>
      <c r="NWY30" s="55"/>
      <c r="NWZ30" s="53"/>
      <c r="NXD30" s="28"/>
      <c r="NXF30" s="55"/>
      <c r="NXG30" s="53"/>
      <c r="NXK30" s="28"/>
      <c r="NXM30" s="55"/>
      <c r="NXN30" s="53"/>
      <c r="NXR30" s="28"/>
      <c r="NXT30" s="55"/>
      <c r="NXU30" s="53"/>
      <c r="NXY30" s="28"/>
      <c r="NYA30" s="55"/>
      <c r="NYB30" s="53"/>
      <c r="NYF30" s="28"/>
      <c r="NYH30" s="55"/>
      <c r="NYI30" s="53"/>
      <c r="NYM30" s="28"/>
      <c r="NYO30" s="55"/>
      <c r="NYP30" s="53"/>
      <c r="NYT30" s="28"/>
      <c r="NYV30" s="55"/>
      <c r="NYW30" s="53"/>
      <c r="NZA30" s="28"/>
      <c r="NZC30" s="55"/>
      <c r="NZD30" s="53"/>
      <c r="NZH30" s="28"/>
      <c r="NZJ30" s="55"/>
      <c r="NZK30" s="53"/>
      <c r="NZO30" s="28"/>
      <c r="NZQ30" s="55"/>
      <c r="NZR30" s="53"/>
      <c r="NZV30" s="28"/>
      <c r="NZX30" s="55"/>
      <c r="NZY30" s="53"/>
      <c r="OAC30" s="28"/>
      <c r="OAE30" s="55"/>
      <c r="OAF30" s="53"/>
      <c r="OAJ30" s="28"/>
      <c r="OAL30" s="55"/>
      <c r="OAM30" s="53"/>
      <c r="OAQ30" s="28"/>
      <c r="OAS30" s="55"/>
      <c r="OAT30" s="53"/>
      <c r="OAX30" s="28"/>
      <c r="OAZ30" s="55"/>
      <c r="OBA30" s="53"/>
      <c r="OBE30" s="28"/>
      <c r="OBG30" s="55"/>
      <c r="OBH30" s="53"/>
      <c r="OBL30" s="28"/>
      <c r="OBN30" s="55"/>
      <c r="OBO30" s="53"/>
      <c r="OBS30" s="28"/>
      <c r="OBU30" s="55"/>
      <c r="OBV30" s="53"/>
      <c r="OBZ30" s="28"/>
      <c r="OCB30" s="55"/>
      <c r="OCC30" s="53"/>
      <c r="OCG30" s="28"/>
      <c r="OCI30" s="55"/>
      <c r="OCJ30" s="53"/>
      <c r="OCN30" s="28"/>
      <c r="OCP30" s="55"/>
      <c r="OCQ30" s="53"/>
      <c r="OCU30" s="28"/>
      <c r="OCW30" s="55"/>
      <c r="OCX30" s="53"/>
      <c r="ODB30" s="28"/>
      <c r="ODD30" s="55"/>
      <c r="ODE30" s="53"/>
      <c r="ODI30" s="28"/>
      <c r="ODK30" s="55"/>
      <c r="ODL30" s="53"/>
      <c r="ODP30" s="28"/>
      <c r="ODR30" s="55"/>
      <c r="ODS30" s="53"/>
      <c r="ODW30" s="28"/>
      <c r="ODY30" s="55"/>
      <c r="ODZ30" s="53"/>
      <c r="OED30" s="28"/>
      <c r="OEF30" s="55"/>
      <c r="OEG30" s="53"/>
      <c r="OEK30" s="28"/>
      <c r="OEM30" s="55"/>
      <c r="OEN30" s="53"/>
      <c r="OER30" s="28"/>
      <c r="OET30" s="55"/>
      <c r="OEU30" s="53"/>
      <c r="OEY30" s="28"/>
      <c r="OFA30" s="55"/>
      <c r="OFB30" s="53"/>
      <c r="OFF30" s="28"/>
      <c r="OFH30" s="55"/>
      <c r="OFI30" s="53"/>
      <c r="OFM30" s="28"/>
      <c r="OFO30" s="55"/>
      <c r="OFP30" s="53"/>
      <c r="OFT30" s="28"/>
      <c r="OFV30" s="55"/>
      <c r="OFW30" s="53"/>
      <c r="OGA30" s="28"/>
      <c r="OGC30" s="55"/>
      <c r="OGD30" s="53"/>
      <c r="OGH30" s="28"/>
      <c r="OGJ30" s="55"/>
      <c r="OGK30" s="53"/>
      <c r="OGO30" s="28"/>
      <c r="OGQ30" s="55"/>
      <c r="OGR30" s="53"/>
      <c r="OGV30" s="28"/>
      <c r="OGX30" s="55"/>
      <c r="OGY30" s="53"/>
      <c r="OHC30" s="28"/>
      <c r="OHE30" s="55"/>
      <c r="OHF30" s="53"/>
      <c r="OHJ30" s="28"/>
      <c r="OHL30" s="55"/>
      <c r="OHM30" s="53"/>
      <c r="OHQ30" s="28"/>
      <c r="OHS30" s="55"/>
      <c r="OHT30" s="53"/>
      <c r="OHX30" s="28"/>
      <c r="OHZ30" s="55"/>
      <c r="OIA30" s="53"/>
      <c r="OIE30" s="28"/>
      <c r="OIG30" s="55"/>
      <c r="OIH30" s="53"/>
      <c r="OIL30" s="28"/>
      <c r="OIN30" s="55"/>
      <c r="OIO30" s="53"/>
      <c r="OIS30" s="28"/>
      <c r="OIU30" s="55"/>
      <c r="OIV30" s="53"/>
      <c r="OIZ30" s="28"/>
      <c r="OJB30" s="55"/>
      <c r="OJC30" s="53"/>
      <c r="OJG30" s="28"/>
      <c r="OJI30" s="55"/>
      <c r="OJJ30" s="53"/>
      <c r="OJN30" s="28"/>
      <c r="OJP30" s="55"/>
      <c r="OJQ30" s="53"/>
      <c r="OJU30" s="28"/>
      <c r="OJW30" s="55"/>
      <c r="OJX30" s="53"/>
      <c r="OKB30" s="28"/>
      <c r="OKD30" s="55"/>
      <c r="OKE30" s="53"/>
      <c r="OKI30" s="28"/>
      <c r="OKK30" s="55"/>
      <c r="OKL30" s="53"/>
      <c r="OKP30" s="28"/>
      <c r="OKR30" s="55"/>
      <c r="OKS30" s="53"/>
      <c r="OKW30" s="28"/>
      <c r="OKY30" s="55"/>
      <c r="OKZ30" s="53"/>
      <c r="OLD30" s="28"/>
      <c r="OLF30" s="55"/>
      <c r="OLG30" s="53"/>
      <c r="OLK30" s="28"/>
      <c r="OLM30" s="55"/>
      <c r="OLN30" s="53"/>
      <c r="OLR30" s="28"/>
      <c r="OLT30" s="55"/>
      <c r="OLU30" s="53"/>
      <c r="OLY30" s="28"/>
      <c r="OMA30" s="55"/>
      <c r="OMB30" s="53"/>
      <c r="OMF30" s="28"/>
      <c r="OMH30" s="55"/>
      <c r="OMI30" s="53"/>
      <c r="OMM30" s="28"/>
      <c r="OMO30" s="55"/>
      <c r="OMP30" s="53"/>
      <c r="OMT30" s="28"/>
      <c r="OMV30" s="55"/>
      <c r="OMW30" s="53"/>
      <c r="ONA30" s="28"/>
      <c r="ONC30" s="55"/>
      <c r="OND30" s="53"/>
      <c r="ONH30" s="28"/>
      <c r="ONJ30" s="55"/>
      <c r="ONK30" s="53"/>
      <c r="ONO30" s="28"/>
      <c r="ONQ30" s="55"/>
      <c r="ONR30" s="53"/>
      <c r="ONV30" s="28"/>
      <c r="ONX30" s="55"/>
      <c r="ONY30" s="53"/>
      <c r="OOC30" s="28"/>
      <c r="OOE30" s="55"/>
      <c r="OOF30" s="53"/>
      <c r="OOJ30" s="28"/>
      <c r="OOL30" s="55"/>
      <c r="OOM30" s="53"/>
      <c r="OOQ30" s="28"/>
      <c r="OOS30" s="55"/>
      <c r="OOT30" s="53"/>
      <c r="OOX30" s="28"/>
      <c r="OOZ30" s="55"/>
      <c r="OPA30" s="53"/>
      <c r="OPE30" s="28"/>
      <c r="OPG30" s="55"/>
      <c r="OPH30" s="53"/>
      <c r="OPL30" s="28"/>
      <c r="OPN30" s="55"/>
      <c r="OPO30" s="53"/>
      <c r="OPS30" s="28"/>
      <c r="OPU30" s="55"/>
      <c r="OPV30" s="53"/>
      <c r="OPZ30" s="28"/>
      <c r="OQB30" s="55"/>
      <c r="OQC30" s="53"/>
      <c r="OQG30" s="28"/>
      <c r="OQI30" s="55"/>
      <c r="OQJ30" s="53"/>
      <c r="OQN30" s="28"/>
      <c r="OQP30" s="55"/>
      <c r="OQQ30" s="53"/>
      <c r="OQU30" s="28"/>
      <c r="OQW30" s="55"/>
      <c r="OQX30" s="53"/>
      <c r="ORB30" s="28"/>
      <c r="ORD30" s="55"/>
      <c r="ORE30" s="53"/>
      <c r="ORI30" s="28"/>
      <c r="ORK30" s="55"/>
      <c r="ORL30" s="53"/>
      <c r="ORP30" s="28"/>
      <c r="ORR30" s="55"/>
      <c r="ORS30" s="53"/>
      <c r="ORW30" s="28"/>
      <c r="ORY30" s="55"/>
      <c r="ORZ30" s="53"/>
      <c r="OSD30" s="28"/>
      <c r="OSF30" s="55"/>
      <c r="OSG30" s="53"/>
      <c r="OSK30" s="28"/>
      <c r="OSM30" s="55"/>
      <c r="OSN30" s="53"/>
      <c r="OSR30" s="28"/>
      <c r="OST30" s="55"/>
      <c r="OSU30" s="53"/>
      <c r="OSY30" s="28"/>
      <c r="OTA30" s="55"/>
      <c r="OTB30" s="53"/>
      <c r="OTF30" s="28"/>
      <c r="OTH30" s="55"/>
      <c r="OTI30" s="53"/>
      <c r="OTM30" s="28"/>
      <c r="OTO30" s="55"/>
      <c r="OTP30" s="53"/>
      <c r="OTT30" s="28"/>
      <c r="OTV30" s="55"/>
      <c r="OTW30" s="53"/>
      <c r="OUA30" s="28"/>
      <c r="OUC30" s="55"/>
      <c r="OUD30" s="53"/>
      <c r="OUH30" s="28"/>
      <c r="OUJ30" s="55"/>
      <c r="OUK30" s="53"/>
      <c r="OUO30" s="28"/>
      <c r="OUQ30" s="55"/>
      <c r="OUR30" s="53"/>
      <c r="OUV30" s="28"/>
      <c r="OUX30" s="55"/>
      <c r="OUY30" s="53"/>
      <c r="OVC30" s="28"/>
      <c r="OVE30" s="55"/>
      <c r="OVF30" s="53"/>
      <c r="OVJ30" s="28"/>
      <c r="OVL30" s="55"/>
      <c r="OVM30" s="53"/>
      <c r="OVQ30" s="28"/>
      <c r="OVS30" s="55"/>
      <c r="OVT30" s="53"/>
      <c r="OVX30" s="28"/>
      <c r="OVZ30" s="55"/>
      <c r="OWA30" s="53"/>
      <c r="OWE30" s="28"/>
      <c r="OWG30" s="55"/>
      <c r="OWH30" s="53"/>
      <c r="OWL30" s="28"/>
      <c r="OWN30" s="55"/>
      <c r="OWO30" s="53"/>
      <c r="OWS30" s="28"/>
      <c r="OWU30" s="55"/>
      <c r="OWV30" s="53"/>
      <c r="OWZ30" s="28"/>
      <c r="OXB30" s="55"/>
      <c r="OXC30" s="53"/>
      <c r="OXG30" s="28"/>
      <c r="OXI30" s="55"/>
      <c r="OXJ30" s="53"/>
      <c r="OXN30" s="28"/>
      <c r="OXP30" s="55"/>
      <c r="OXQ30" s="53"/>
      <c r="OXU30" s="28"/>
      <c r="OXW30" s="55"/>
      <c r="OXX30" s="53"/>
      <c r="OYB30" s="28"/>
      <c r="OYD30" s="55"/>
      <c r="OYE30" s="53"/>
      <c r="OYI30" s="28"/>
      <c r="OYK30" s="55"/>
      <c r="OYL30" s="53"/>
      <c r="OYP30" s="28"/>
      <c r="OYR30" s="55"/>
      <c r="OYS30" s="53"/>
      <c r="OYW30" s="28"/>
      <c r="OYY30" s="55"/>
      <c r="OYZ30" s="53"/>
      <c r="OZD30" s="28"/>
      <c r="OZF30" s="55"/>
      <c r="OZG30" s="53"/>
      <c r="OZK30" s="28"/>
      <c r="OZM30" s="55"/>
      <c r="OZN30" s="53"/>
      <c r="OZR30" s="28"/>
      <c r="OZT30" s="55"/>
      <c r="OZU30" s="53"/>
      <c r="OZY30" s="28"/>
      <c r="PAA30" s="55"/>
      <c r="PAB30" s="53"/>
      <c r="PAF30" s="28"/>
      <c r="PAH30" s="55"/>
      <c r="PAI30" s="53"/>
      <c r="PAM30" s="28"/>
      <c r="PAO30" s="55"/>
      <c r="PAP30" s="53"/>
      <c r="PAT30" s="28"/>
      <c r="PAV30" s="55"/>
      <c r="PAW30" s="53"/>
      <c r="PBA30" s="28"/>
      <c r="PBC30" s="55"/>
      <c r="PBD30" s="53"/>
      <c r="PBH30" s="28"/>
      <c r="PBJ30" s="55"/>
      <c r="PBK30" s="53"/>
      <c r="PBO30" s="28"/>
      <c r="PBQ30" s="55"/>
      <c r="PBR30" s="53"/>
      <c r="PBV30" s="28"/>
      <c r="PBX30" s="55"/>
      <c r="PBY30" s="53"/>
      <c r="PCC30" s="28"/>
      <c r="PCE30" s="55"/>
      <c r="PCF30" s="53"/>
      <c r="PCJ30" s="28"/>
      <c r="PCL30" s="55"/>
      <c r="PCM30" s="53"/>
      <c r="PCQ30" s="28"/>
      <c r="PCS30" s="55"/>
      <c r="PCT30" s="53"/>
      <c r="PCX30" s="28"/>
      <c r="PCZ30" s="55"/>
      <c r="PDA30" s="53"/>
      <c r="PDE30" s="28"/>
      <c r="PDG30" s="55"/>
      <c r="PDH30" s="53"/>
      <c r="PDL30" s="28"/>
      <c r="PDN30" s="55"/>
      <c r="PDO30" s="53"/>
      <c r="PDS30" s="28"/>
      <c r="PDU30" s="55"/>
      <c r="PDV30" s="53"/>
      <c r="PDZ30" s="28"/>
      <c r="PEB30" s="55"/>
      <c r="PEC30" s="53"/>
      <c r="PEG30" s="28"/>
      <c r="PEI30" s="55"/>
      <c r="PEJ30" s="53"/>
      <c r="PEN30" s="28"/>
      <c r="PEP30" s="55"/>
      <c r="PEQ30" s="53"/>
      <c r="PEU30" s="28"/>
      <c r="PEW30" s="55"/>
      <c r="PEX30" s="53"/>
      <c r="PFB30" s="28"/>
      <c r="PFD30" s="55"/>
      <c r="PFE30" s="53"/>
      <c r="PFI30" s="28"/>
      <c r="PFK30" s="55"/>
      <c r="PFL30" s="53"/>
      <c r="PFP30" s="28"/>
      <c r="PFR30" s="55"/>
      <c r="PFS30" s="53"/>
      <c r="PFW30" s="28"/>
      <c r="PFY30" s="55"/>
      <c r="PFZ30" s="53"/>
      <c r="PGD30" s="28"/>
      <c r="PGF30" s="55"/>
      <c r="PGG30" s="53"/>
      <c r="PGK30" s="28"/>
      <c r="PGM30" s="55"/>
      <c r="PGN30" s="53"/>
      <c r="PGR30" s="28"/>
      <c r="PGT30" s="55"/>
      <c r="PGU30" s="53"/>
      <c r="PGY30" s="28"/>
      <c r="PHA30" s="55"/>
      <c r="PHB30" s="53"/>
      <c r="PHF30" s="28"/>
      <c r="PHH30" s="55"/>
      <c r="PHI30" s="53"/>
      <c r="PHM30" s="28"/>
      <c r="PHO30" s="55"/>
      <c r="PHP30" s="53"/>
      <c r="PHT30" s="28"/>
      <c r="PHV30" s="55"/>
      <c r="PHW30" s="53"/>
      <c r="PIA30" s="28"/>
      <c r="PIC30" s="55"/>
      <c r="PID30" s="53"/>
      <c r="PIH30" s="28"/>
      <c r="PIJ30" s="55"/>
      <c r="PIK30" s="53"/>
      <c r="PIO30" s="28"/>
      <c r="PIQ30" s="55"/>
      <c r="PIR30" s="53"/>
      <c r="PIV30" s="28"/>
      <c r="PIX30" s="55"/>
      <c r="PIY30" s="53"/>
      <c r="PJC30" s="28"/>
      <c r="PJE30" s="55"/>
      <c r="PJF30" s="53"/>
      <c r="PJJ30" s="28"/>
      <c r="PJL30" s="55"/>
      <c r="PJM30" s="53"/>
      <c r="PJQ30" s="28"/>
      <c r="PJS30" s="55"/>
      <c r="PJT30" s="53"/>
      <c r="PJX30" s="28"/>
      <c r="PJZ30" s="55"/>
      <c r="PKA30" s="53"/>
      <c r="PKE30" s="28"/>
      <c r="PKG30" s="55"/>
      <c r="PKH30" s="53"/>
      <c r="PKL30" s="28"/>
      <c r="PKN30" s="55"/>
      <c r="PKO30" s="53"/>
      <c r="PKS30" s="28"/>
      <c r="PKU30" s="55"/>
      <c r="PKV30" s="53"/>
      <c r="PKZ30" s="28"/>
      <c r="PLB30" s="55"/>
      <c r="PLC30" s="53"/>
      <c r="PLG30" s="28"/>
      <c r="PLI30" s="55"/>
      <c r="PLJ30" s="53"/>
      <c r="PLN30" s="28"/>
      <c r="PLP30" s="55"/>
      <c r="PLQ30" s="53"/>
      <c r="PLU30" s="28"/>
      <c r="PLW30" s="55"/>
      <c r="PLX30" s="53"/>
      <c r="PMB30" s="28"/>
      <c r="PMD30" s="55"/>
      <c r="PME30" s="53"/>
      <c r="PMI30" s="28"/>
      <c r="PMK30" s="55"/>
      <c r="PML30" s="53"/>
      <c r="PMP30" s="28"/>
      <c r="PMR30" s="55"/>
      <c r="PMS30" s="53"/>
      <c r="PMW30" s="28"/>
      <c r="PMY30" s="55"/>
      <c r="PMZ30" s="53"/>
      <c r="PND30" s="28"/>
      <c r="PNF30" s="55"/>
      <c r="PNG30" s="53"/>
      <c r="PNK30" s="28"/>
      <c r="PNM30" s="55"/>
      <c r="PNN30" s="53"/>
      <c r="PNR30" s="28"/>
      <c r="PNT30" s="55"/>
      <c r="PNU30" s="53"/>
      <c r="PNY30" s="28"/>
      <c r="POA30" s="55"/>
      <c r="POB30" s="53"/>
      <c r="POF30" s="28"/>
      <c r="POH30" s="55"/>
      <c r="POI30" s="53"/>
      <c r="POM30" s="28"/>
      <c r="POO30" s="55"/>
      <c r="POP30" s="53"/>
      <c r="POT30" s="28"/>
      <c r="POV30" s="55"/>
      <c r="POW30" s="53"/>
      <c r="PPA30" s="28"/>
      <c r="PPC30" s="55"/>
      <c r="PPD30" s="53"/>
      <c r="PPH30" s="28"/>
      <c r="PPJ30" s="55"/>
      <c r="PPK30" s="53"/>
      <c r="PPO30" s="28"/>
      <c r="PPQ30" s="55"/>
      <c r="PPR30" s="53"/>
      <c r="PPV30" s="28"/>
      <c r="PPX30" s="55"/>
      <c r="PPY30" s="53"/>
      <c r="PQC30" s="28"/>
      <c r="PQE30" s="55"/>
      <c r="PQF30" s="53"/>
      <c r="PQJ30" s="28"/>
      <c r="PQL30" s="55"/>
      <c r="PQM30" s="53"/>
      <c r="PQQ30" s="28"/>
      <c r="PQS30" s="55"/>
      <c r="PQT30" s="53"/>
      <c r="PQX30" s="28"/>
      <c r="PQZ30" s="55"/>
      <c r="PRA30" s="53"/>
      <c r="PRE30" s="28"/>
      <c r="PRG30" s="55"/>
      <c r="PRH30" s="53"/>
      <c r="PRL30" s="28"/>
      <c r="PRN30" s="55"/>
      <c r="PRO30" s="53"/>
      <c r="PRS30" s="28"/>
      <c r="PRU30" s="55"/>
      <c r="PRV30" s="53"/>
      <c r="PRZ30" s="28"/>
      <c r="PSB30" s="55"/>
      <c r="PSC30" s="53"/>
      <c r="PSG30" s="28"/>
      <c r="PSI30" s="55"/>
      <c r="PSJ30" s="53"/>
      <c r="PSN30" s="28"/>
      <c r="PSP30" s="55"/>
      <c r="PSQ30" s="53"/>
      <c r="PSU30" s="28"/>
      <c r="PSW30" s="55"/>
      <c r="PSX30" s="53"/>
      <c r="PTB30" s="28"/>
      <c r="PTD30" s="55"/>
      <c r="PTE30" s="53"/>
      <c r="PTI30" s="28"/>
      <c r="PTK30" s="55"/>
      <c r="PTL30" s="53"/>
      <c r="PTP30" s="28"/>
      <c r="PTR30" s="55"/>
      <c r="PTS30" s="53"/>
      <c r="PTW30" s="28"/>
      <c r="PTY30" s="55"/>
      <c r="PTZ30" s="53"/>
      <c r="PUD30" s="28"/>
      <c r="PUF30" s="55"/>
      <c r="PUG30" s="53"/>
      <c r="PUK30" s="28"/>
      <c r="PUM30" s="55"/>
      <c r="PUN30" s="53"/>
      <c r="PUR30" s="28"/>
      <c r="PUT30" s="55"/>
      <c r="PUU30" s="53"/>
      <c r="PUY30" s="28"/>
      <c r="PVA30" s="55"/>
      <c r="PVB30" s="53"/>
      <c r="PVF30" s="28"/>
      <c r="PVH30" s="55"/>
      <c r="PVI30" s="53"/>
      <c r="PVM30" s="28"/>
      <c r="PVO30" s="55"/>
      <c r="PVP30" s="53"/>
      <c r="PVT30" s="28"/>
      <c r="PVV30" s="55"/>
      <c r="PVW30" s="53"/>
      <c r="PWA30" s="28"/>
      <c r="PWC30" s="55"/>
      <c r="PWD30" s="53"/>
      <c r="PWH30" s="28"/>
      <c r="PWJ30" s="55"/>
      <c r="PWK30" s="53"/>
      <c r="PWO30" s="28"/>
      <c r="PWQ30" s="55"/>
      <c r="PWR30" s="53"/>
      <c r="PWV30" s="28"/>
      <c r="PWX30" s="55"/>
      <c r="PWY30" s="53"/>
      <c r="PXC30" s="28"/>
      <c r="PXE30" s="55"/>
      <c r="PXF30" s="53"/>
      <c r="PXJ30" s="28"/>
      <c r="PXL30" s="55"/>
      <c r="PXM30" s="53"/>
      <c r="PXQ30" s="28"/>
      <c r="PXS30" s="55"/>
      <c r="PXT30" s="53"/>
      <c r="PXX30" s="28"/>
      <c r="PXZ30" s="55"/>
      <c r="PYA30" s="53"/>
      <c r="PYE30" s="28"/>
      <c r="PYG30" s="55"/>
      <c r="PYH30" s="53"/>
      <c r="PYL30" s="28"/>
      <c r="PYN30" s="55"/>
      <c r="PYO30" s="53"/>
      <c r="PYS30" s="28"/>
      <c r="PYU30" s="55"/>
      <c r="PYV30" s="53"/>
      <c r="PYZ30" s="28"/>
      <c r="PZB30" s="55"/>
      <c r="PZC30" s="53"/>
      <c r="PZG30" s="28"/>
      <c r="PZI30" s="55"/>
      <c r="PZJ30" s="53"/>
      <c r="PZN30" s="28"/>
      <c r="PZP30" s="55"/>
      <c r="PZQ30" s="53"/>
      <c r="PZU30" s="28"/>
      <c r="PZW30" s="55"/>
      <c r="PZX30" s="53"/>
      <c r="QAB30" s="28"/>
      <c r="QAD30" s="55"/>
      <c r="QAE30" s="53"/>
      <c r="QAI30" s="28"/>
      <c r="QAK30" s="55"/>
      <c r="QAL30" s="53"/>
      <c r="QAP30" s="28"/>
      <c r="QAR30" s="55"/>
      <c r="QAS30" s="53"/>
      <c r="QAW30" s="28"/>
      <c r="QAY30" s="55"/>
      <c r="QAZ30" s="53"/>
      <c r="QBD30" s="28"/>
      <c r="QBF30" s="55"/>
      <c r="QBG30" s="53"/>
      <c r="QBK30" s="28"/>
      <c r="QBM30" s="55"/>
      <c r="QBN30" s="53"/>
      <c r="QBR30" s="28"/>
      <c r="QBT30" s="55"/>
      <c r="QBU30" s="53"/>
      <c r="QBY30" s="28"/>
      <c r="QCA30" s="55"/>
      <c r="QCB30" s="53"/>
      <c r="QCF30" s="28"/>
      <c r="QCH30" s="55"/>
      <c r="QCI30" s="53"/>
      <c r="QCM30" s="28"/>
      <c r="QCO30" s="55"/>
      <c r="QCP30" s="53"/>
      <c r="QCT30" s="28"/>
      <c r="QCV30" s="55"/>
      <c r="QCW30" s="53"/>
      <c r="QDA30" s="28"/>
      <c r="QDC30" s="55"/>
      <c r="QDD30" s="53"/>
      <c r="QDH30" s="28"/>
      <c r="QDJ30" s="55"/>
      <c r="QDK30" s="53"/>
      <c r="QDO30" s="28"/>
      <c r="QDQ30" s="55"/>
      <c r="QDR30" s="53"/>
      <c r="QDV30" s="28"/>
      <c r="QDX30" s="55"/>
      <c r="QDY30" s="53"/>
      <c r="QEC30" s="28"/>
      <c r="QEE30" s="55"/>
      <c r="QEF30" s="53"/>
      <c r="QEJ30" s="28"/>
      <c r="QEL30" s="55"/>
      <c r="QEM30" s="53"/>
      <c r="QEQ30" s="28"/>
      <c r="QES30" s="55"/>
      <c r="QET30" s="53"/>
      <c r="QEX30" s="28"/>
      <c r="QEZ30" s="55"/>
      <c r="QFA30" s="53"/>
      <c r="QFE30" s="28"/>
      <c r="QFG30" s="55"/>
      <c r="QFH30" s="53"/>
      <c r="QFL30" s="28"/>
      <c r="QFN30" s="55"/>
      <c r="QFO30" s="53"/>
      <c r="QFS30" s="28"/>
      <c r="QFU30" s="55"/>
      <c r="QFV30" s="53"/>
      <c r="QFZ30" s="28"/>
      <c r="QGB30" s="55"/>
      <c r="QGC30" s="53"/>
      <c r="QGG30" s="28"/>
      <c r="QGI30" s="55"/>
      <c r="QGJ30" s="53"/>
      <c r="QGN30" s="28"/>
      <c r="QGP30" s="55"/>
      <c r="QGQ30" s="53"/>
      <c r="QGU30" s="28"/>
      <c r="QGW30" s="55"/>
      <c r="QGX30" s="53"/>
      <c r="QHB30" s="28"/>
      <c r="QHD30" s="55"/>
      <c r="QHE30" s="53"/>
      <c r="QHI30" s="28"/>
      <c r="QHK30" s="55"/>
      <c r="QHL30" s="53"/>
      <c r="QHP30" s="28"/>
      <c r="QHR30" s="55"/>
      <c r="QHS30" s="53"/>
      <c r="QHW30" s="28"/>
      <c r="QHY30" s="55"/>
      <c r="QHZ30" s="53"/>
      <c r="QID30" s="28"/>
      <c r="QIF30" s="55"/>
      <c r="QIG30" s="53"/>
      <c r="QIK30" s="28"/>
      <c r="QIM30" s="55"/>
      <c r="QIN30" s="53"/>
      <c r="QIR30" s="28"/>
      <c r="QIT30" s="55"/>
      <c r="QIU30" s="53"/>
      <c r="QIY30" s="28"/>
      <c r="QJA30" s="55"/>
      <c r="QJB30" s="53"/>
      <c r="QJF30" s="28"/>
      <c r="QJH30" s="55"/>
      <c r="QJI30" s="53"/>
      <c r="QJM30" s="28"/>
      <c r="QJO30" s="55"/>
      <c r="QJP30" s="53"/>
      <c r="QJT30" s="28"/>
      <c r="QJV30" s="55"/>
      <c r="QJW30" s="53"/>
      <c r="QKA30" s="28"/>
      <c r="QKC30" s="55"/>
      <c r="QKD30" s="53"/>
      <c r="QKH30" s="28"/>
      <c r="QKJ30" s="55"/>
      <c r="QKK30" s="53"/>
      <c r="QKO30" s="28"/>
      <c r="QKQ30" s="55"/>
      <c r="QKR30" s="53"/>
      <c r="QKV30" s="28"/>
      <c r="QKX30" s="55"/>
      <c r="QKY30" s="53"/>
      <c r="QLC30" s="28"/>
      <c r="QLE30" s="55"/>
      <c r="QLF30" s="53"/>
      <c r="QLJ30" s="28"/>
      <c r="QLL30" s="55"/>
      <c r="QLM30" s="53"/>
      <c r="QLQ30" s="28"/>
      <c r="QLS30" s="55"/>
      <c r="QLT30" s="53"/>
      <c r="QLX30" s="28"/>
      <c r="QLZ30" s="55"/>
      <c r="QMA30" s="53"/>
      <c r="QME30" s="28"/>
      <c r="QMG30" s="55"/>
      <c r="QMH30" s="53"/>
      <c r="QML30" s="28"/>
      <c r="QMN30" s="55"/>
      <c r="QMO30" s="53"/>
      <c r="QMS30" s="28"/>
      <c r="QMU30" s="55"/>
      <c r="QMV30" s="53"/>
      <c r="QMZ30" s="28"/>
      <c r="QNB30" s="55"/>
      <c r="QNC30" s="53"/>
      <c r="QNG30" s="28"/>
      <c r="QNI30" s="55"/>
      <c r="QNJ30" s="53"/>
      <c r="QNN30" s="28"/>
      <c r="QNP30" s="55"/>
      <c r="QNQ30" s="53"/>
      <c r="QNU30" s="28"/>
      <c r="QNW30" s="55"/>
      <c r="QNX30" s="53"/>
      <c r="QOB30" s="28"/>
      <c r="QOD30" s="55"/>
      <c r="QOE30" s="53"/>
      <c r="QOI30" s="28"/>
      <c r="QOK30" s="55"/>
      <c r="QOL30" s="53"/>
      <c r="QOP30" s="28"/>
      <c r="QOR30" s="55"/>
      <c r="QOS30" s="53"/>
      <c r="QOW30" s="28"/>
      <c r="QOY30" s="55"/>
      <c r="QOZ30" s="53"/>
      <c r="QPD30" s="28"/>
      <c r="QPF30" s="55"/>
      <c r="QPG30" s="53"/>
      <c r="QPK30" s="28"/>
      <c r="QPM30" s="55"/>
      <c r="QPN30" s="53"/>
      <c r="QPR30" s="28"/>
      <c r="QPT30" s="55"/>
      <c r="QPU30" s="53"/>
      <c r="QPY30" s="28"/>
      <c r="QQA30" s="55"/>
      <c r="QQB30" s="53"/>
      <c r="QQF30" s="28"/>
      <c r="QQH30" s="55"/>
      <c r="QQI30" s="53"/>
      <c r="QQM30" s="28"/>
      <c r="QQO30" s="55"/>
      <c r="QQP30" s="53"/>
      <c r="QQT30" s="28"/>
      <c r="QQV30" s="55"/>
      <c r="QQW30" s="53"/>
      <c r="QRA30" s="28"/>
      <c r="QRC30" s="55"/>
      <c r="QRD30" s="53"/>
      <c r="QRH30" s="28"/>
      <c r="QRJ30" s="55"/>
      <c r="QRK30" s="53"/>
      <c r="QRO30" s="28"/>
      <c r="QRQ30" s="55"/>
      <c r="QRR30" s="53"/>
      <c r="QRV30" s="28"/>
      <c r="QRX30" s="55"/>
      <c r="QRY30" s="53"/>
      <c r="QSC30" s="28"/>
      <c r="QSE30" s="55"/>
      <c r="QSF30" s="53"/>
      <c r="QSJ30" s="28"/>
      <c r="QSL30" s="55"/>
      <c r="QSM30" s="53"/>
      <c r="QSQ30" s="28"/>
      <c r="QSS30" s="55"/>
      <c r="QST30" s="53"/>
      <c r="QSX30" s="28"/>
      <c r="QSZ30" s="55"/>
      <c r="QTA30" s="53"/>
      <c r="QTE30" s="28"/>
      <c r="QTG30" s="55"/>
      <c r="QTH30" s="53"/>
      <c r="QTL30" s="28"/>
      <c r="QTN30" s="55"/>
      <c r="QTO30" s="53"/>
      <c r="QTS30" s="28"/>
      <c r="QTU30" s="55"/>
      <c r="QTV30" s="53"/>
      <c r="QTZ30" s="28"/>
      <c r="QUB30" s="55"/>
      <c r="QUC30" s="53"/>
      <c r="QUG30" s="28"/>
      <c r="QUI30" s="55"/>
      <c r="QUJ30" s="53"/>
      <c r="QUN30" s="28"/>
      <c r="QUP30" s="55"/>
      <c r="QUQ30" s="53"/>
      <c r="QUU30" s="28"/>
      <c r="QUW30" s="55"/>
      <c r="QUX30" s="53"/>
      <c r="QVB30" s="28"/>
      <c r="QVD30" s="55"/>
      <c r="QVE30" s="53"/>
      <c r="QVI30" s="28"/>
      <c r="QVK30" s="55"/>
      <c r="QVL30" s="53"/>
      <c r="QVP30" s="28"/>
      <c r="QVR30" s="55"/>
      <c r="QVS30" s="53"/>
      <c r="QVW30" s="28"/>
      <c r="QVY30" s="55"/>
      <c r="QVZ30" s="53"/>
      <c r="QWD30" s="28"/>
      <c r="QWF30" s="55"/>
      <c r="QWG30" s="53"/>
      <c r="QWK30" s="28"/>
      <c r="QWM30" s="55"/>
      <c r="QWN30" s="53"/>
      <c r="QWR30" s="28"/>
      <c r="QWT30" s="55"/>
      <c r="QWU30" s="53"/>
      <c r="QWY30" s="28"/>
      <c r="QXA30" s="55"/>
      <c r="QXB30" s="53"/>
      <c r="QXF30" s="28"/>
      <c r="QXH30" s="55"/>
      <c r="QXI30" s="53"/>
      <c r="QXM30" s="28"/>
      <c r="QXO30" s="55"/>
      <c r="QXP30" s="53"/>
      <c r="QXT30" s="28"/>
      <c r="QXV30" s="55"/>
      <c r="QXW30" s="53"/>
      <c r="QYA30" s="28"/>
      <c r="QYC30" s="55"/>
      <c r="QYD30" s="53"/>
      <c r="QYH30" s="28"/>
      <c r="QYJ30" s="55"/>
      <c r="QYK30" s="53"/>
      <c r="QYO30" s="28"/>
      <c r="QYQ30" s="55"/>
      <c r="QYR30" s="53"/>
      <c r="QYV30" s="28"/>
      <c r="QYX30" s="55"/>
      <c r="QYY30" s="53"/>
      <c r="QZC30" s="28"/>
      <c r="QZE30" s="55"/>
      <c r="QZF30" s="53"/>
      <c r="QZJ30" s="28"/>
      <c r="QZL30" s="55"/>
      <c r="QZM30" s="53"/>
      <c r="QZQ30" s="28"/>
      <c r="QZS30" s="55"/>
      <c r="QZT30" s="53"/>
      <c r="QZX30" s="28"/>
      <c r="QZZ30" s="55"/>
      <c r="RAA30" s="53"/>
      <c r="RAE30" s="28"/>
      <c r="RAG30" s="55"/>
      <c r="RAH30" s="53"/>
      <c r="RAL30" s="28"/>
      <c r="RAN30" s="55"/>
      <c r="RAO30" s="53"/>
      <c r="RAS30" s="28"/>
      <c r="RAU30" s="55"/>
      <c r="RAV30" s="53"/>
      <c r="RAZ30" s="28"/>
      <c r="RBB30" s="55"/>
      <c r="RBC30" s="53"/>
      <c r="RBG30" s="28"/>
      <c r="RBI30" s="55"/>
      <c r="RBJ30" s="53"/>
      <c r="RBN30" s="28"/>
      <c r="RBP30" s="55"/>
      <c r="RBQ30" s="53"/>
      <c r="RBU30" s="28"/>
      <c r="RBW30" s="55"/>
      <c r="RBX30" s="53"/>
      <c r="RCB30" s="28"/>
      <c r="RCD30" s="55"/>
      <c r="RCE30" s="53"/>
      <c r="RCI30" s="28"/>
      <c r="RCK30" s="55"/>
      <c r="RCL30" s="53"/>
      <c r="RCP30" s="28"/>
      <c r="RCR30" s="55"/>
      <c r="RCS30" s="53"/>
      <c r="RCW30" s="28"/>
      <c r="RCY30" s="55"/>
      <c r="RCZ30" s="53"/>
      <c r="RDD30" s="28"/>
      <c r="RDF30" s="55"/>
      <c r="RDG30" s="53"/>
      <c r="RDK30" s="28"/>
      <c r="RDM30" s="55"/>
      <c r="RDN30" s="53"/>
      <c r="RDR30" s="28"/>
      <c r="RDT30" s="55"/>
      <c r="RDU30" s="53"/>
      <c r="RDY30" s="28"/>
      <c r="REA30" s="55"/>
      <c r="REB30" s="53"/>
      <c r="REF30" s="28"/>
      <c r="REH30" s="55"/>
      <c r="REI30" s="53"/>
      <c r="REM30" s="28"/>
      <c r="REO30" s="55"/>
      <c r="REP30" s="53"/>
      <c r="RET30" s="28"/>
      <c r="REV30" s="55"/>
      <c r="REW30" s="53"/>
      <c r="RFA30" s="28"/>
      <c r="RFC30" s="55"/>
      <c r="RFD30" s="53"/>
      <c r="RFH30" s="28"/>
      <c r="RFJ30" s="55"/>
      <c r="RFK30" s="53"/>
      <c r="RFO30" s="28"/>
      <c r="RFQ30" s="55"/>
      <c r="RFR30" s="53"/>
      <c r="RFV30" s="28"/>
      <c r="RFX30" s="55"/>
      <c r="RFY30" s="53"/>
      <c r="RGC30" s="28"/>
      <c r="RGE30" s="55"/>
      <c r="RGF30" s="53"/>
      <c r="RGJ30" s="28"/>
      <c r="RGL30" s="55"/>
      <c r="RGM30" s="53"/>
      <c r="RGQ30" s="28"/>
      <c r="RGS30" s="55"/>
      <c r="RGT30" s="53"/>
      <c r="RGX30" s="28"/>
      <c r="RGZ30" s="55"/>
      <c r="RHA30" s="53"/>
      <c r="RHE30" s="28"/>
      <c r="RHG30" s="55"/>
      <c r="RHH30" s="53"/>
      <c r="RHL30" s="28"/>
      <c r="RHN30" s="55"/>
      <c r="RHO30" s="53"/>
      <c r="RHS30" s="28"/>
      <c r="RHU30" s="55"/>
      <c r="RHV30" s="53"/>
      <c r="RHZ30" s="28"/>
      <c r="RIB30" s="55"/>
      <c r="RIC30" s="53"/>
      <c r="RIG30" s="28"/>
      <c r="RII30" s="55"/>
      <c r="RIJ30" s="53"/>
      <c r="RIN30" s="28"/>
      <c r="RIP30" s="55"/>
      <c r="RIQ30" s="53"/>
      <c r="RIU30" s="28"/>
      <c r="RIW30" s="55"/>
      <c r="RIX30" s="53"/>
      <c r="RJB30" s="28"/>
      <c r="RJD30" s="55"/>
      <c r="RJE30" s="53"/>
      <c r="RJI30" s="28"/>
      <c r="RJK30" s="55"/>
      <c r="RJL30" s="53"/>
      <c r="RJP30" s="28"/>
      <c r="RJR30" s="55"/>
      <c r="RJS30" s="53"/>
      <c r="RJW30" s="28"/>
      <c r="RJY30" s="55"/>
      <c r="RJZ30" s="53"/>
      <c r="RKD30" s="28"/>
      <c r="RKF30" s="55"/>
      <c r="RKG30" s="53"/>
      <c r="RKK30" s="28"/>
      <c r="RKM30" s="55"/>
      <c r="RKN30" s="53"/>
      <c r="RKR30" s="28"/>
      <c r="RKT30" s="55"/>
      <c r="RKU30" s="53"/>
      <c r="RKY30" s="28"/>
      <c r="RLA30" s="55"/>
      <c r="RLB30" s="53"/>
      <c r="RLF30" s="28"/>
      <c r="RLH30" s="55"/>
      <c r="RLI30" s="53"/>
      <c r="RLM30" s="28"/>
      <c r="RLO30" s="55"/>
      <c r="RLP30" s="53"/>
      <c r="RLT30" s="28"/>
      <c r="RLV30" s="55"/>
      <c r="RLW30" s="53"/>
      <c r="RMA30" s="28"/>
      <c r="RMC30" s="55"/>
      <c r="RMD30" s="53"/>
      <c r="RMH30" s="28"/>
      <c r="RMJ30" s="55"/>
      <c r="RMK30" s="53"/>
      <c r="RMO30" s="28"/>
      <c r="RMQ30" s="55"/>
      <c r="RMR30" s="53"/>
      <c r="RMV30" s="28"/>
      <c r="RMX30" s="55"/>
      <c r="RMY30" s="53"/>
      <c r="RNC30" s="28"/>
      <c r="RNE30" s="55"/>
      <c r="RNF30" s="53"/>
      <c r="RNJ30" s="28"/>
      <c r="RNL30" s="55"/>
      <c r="RNM30" s="53"/>
      <c r="RNQ30" s="28"/>
      <c r="RNS30" s="55"/>
      <c r="RNT30" s="53"/>
      <c r="RNX30" s="28"/>
      <c r="RNZ30" s="55"/>
      <c r="ROA30" s="53"/>
      <c r="ROE30" s="28"/>
      <c r="ROG30" s="55"/>
      <c r="ROH30" s="53"/>
      <c r="ROL30" s="28"/>
      <c r="RON30" s="55"/>
      <c r="ROO30" s="53"/>
      <c r="ROS30" s="28"/>
      <c r="ROU30" s="55"/>
      <c r="ROV30" s="53"/>
      <c r="ROZ30" s="28"/>
      <c r="RPB30" s="55"/>
      <c r="RPC30" s="53"/>
      <c r="RPG30" s="28"/>
      <c r="RPI30" s="55"/>
      <c r="RPJ30" s="53"/>
      <c r="RPN30" s="28"/>
      <c r="RPP30" s="55"/>
      <c r="RPQ30" s="53"/>
      <c r="RPU30" s="28"/>
      <c r="RPW30" s="55"/>
      <c r="RPX30" s="53"/>
      <c r="RQB30" s="28"/>
      <c r="RQD30" s="55"/>
      <c r="RQE30" s="53"/>
      <c r="RQI30" s="28"/>
      <c r="RQK30" s="55"/>
      <c r="RQL30" s="53"/>
      <c r="RQP30" s="28"/>
      <c r="RQR30" s="55"/>
      <c r="RQS30" s="53"/>
      <c r="RQW30" s="28"/>
      <c r="RQY30" s="55"/>
      <c r="RQZ30" s="53"/>
      <c r="RRD30" s="28"/>
      <c r="RRF30" s="55"/>
      <c r="RRG30" s="53"/>
      <c r="RRK30" s="28"/>
      <c r="RRM30" s="55"/>
      <c r="RRN30" s="53"/>
      <c r="RRR30" s="28"/>
      <c r="RRT30" s="55"/>
      <c r="RRU30" s="53"/>
      <c r="RRY30" s="28"/>
      <c r="RSA30" s="55"/>
      <c r="RSB30" s="53"/>
      <c r="RSF30" s="28"/>
      <c r="RSH30" s="55"/>
      <c r="RSI30" s="53"/>
      <c r="RSM30" s="28"/>
      <c r="RSO30" s="55"/>
      <c r="RSP30" s="53"/>
      <c r="RST30" s="28"/>
      <c r="RSV30" s="55"/>
      <c r="RSW30" s="53"/>
      <c r="RTA30" s="28"/>
      <c r="RTC30" s="55"/>
      <c r="RTD30" s="53"/>
      <c r="RTH30" s="28"/>
      <c r="RTJ30" s="55"/>
      <c r="RTK30" s="53"/>
      <c r="RTO30" s="28"/>
      <c r="RTQ30" s="55"/>
      <c r="RTR30" s="53"/>
      <c r="RTV30" s="28"/>
      <c r="RTX30" s="55"/>
      <c r="RTY30" s="53"/>
      <c r="RUC30" s="28"/>
      <c r="RUE30" s="55"/>
      <c r="RUF30" s="53"/>
      <c r="RUJ30" s="28"/>
      <c r="RUL30" s="55"/>
      <c r="RUM30" s="53"/>
      <c r="RUQ30" s="28"/>
      <c r="RUS30" s="55"/>
      <c r="RUT30" s="53"/>
      <c r="RUX30" s="28"/>
      <c r="RUZ30" s="55"/>
      <c r="RVA30" s="53"/>
      <c r="RVE30" s="28"/>
      <c r="RVG30" s="55"/>
      <c r="RVH30" s="53"/>
      <c r="RVL30" s="28"/>
      <c r="RVN30" s="55"/>
      <c r="RVO30" s="53"/>
      <c r="RVS30" s="28"/>
      <c r="RVU30" s="55"/>
      <c r="RVV30" s="53"/>
      <c r="RVZ30" s="28"/>
      <c r="RWB30" s="55"/>
      <c r="RWC30" s="53"/>
      <c r="RWG30" s="28"/>
      <c r="RWI30" s="55"/>
      <c r="RWJ30" s="53"/>
      <c r="RWN30" s="28"/>
      <c r="RWP30" s="55"/>
      <c r="RWQ30" s="53"/>
      <c r="RWU30" s="28"/>
      <c r="RWW30" s="55"/>
      <c r="RWX30" s="53"/>
      <c r="RXB30" s="28"/>
      <c r="RXD30" s="55"/>
      <c r="RXE30" s="53"/>
      <c r="RXI30" s="28"/>
      <c r="RXK30" s="55"/>
      <c r="RXL30" s="53"/>
      <c r="RXP30" s="28"/>
      <c r="RXR30" s="55"/>
      <c r="RXS30" s="53"/>
      <c r="RXW30" s="28"/>
      <c r="RXY30" s="55"/>
      <c r="RXZ30" s="53"/>
      <c r="RYD30" s="28"/>
      <c r="RYF30" s="55"/>
      <c r="RYG30" s="53"/>
      <c r="RYK30" s="28"/>
      <c r="RYM30" s="55"/>
      <c r="RYN30" s="53"/>
      <c r="RYR30" s="28"/>
      <c r="RYT30" s="55"/>
      <c r="RYU30" s="53"/>
      <c r="RYY30" s="28"/>
      <c r="RZA30" s="55"/>
      <c r="RZB30" s="53"/>
      <c r="RZF30" s="28"/>
      <c r="RZH30" s="55"/>
      <c r="RZI30" s="53"/>
      <c r="RZM30" s="28"/>
      <c r="RZO30" s="55"/>
      <c r="RZP30" s="53"/>
      <c r="RZT30" s="28"/>
      <c r="RZV30" s="55"/>
      <c r="RZW30" s="53"/>
      <c r="SAA30" s="28"/>
      <c r="SAC30" s="55"/>
      <c r="SAD30" s="53"/>
      <c r="SAH30" s="28"/>
      <c r="SAJ30" s="55"/>
      <c r="SAK30" s="53"/>
      <c r="SAO30" s="28"/>
      <c r="SAQ30" s="55"/>
      <c r="SAR30" s="53"/>
      <c r="SAV30" s="28"/>
      <c r="SAX30" s="55"/>
      <c r="SAY30" s="53"/>
      <c r="SBC30" s="28"/>
      <c r="SBE30" s="55"/>
      <c r="SBF30" s="53"/>
      <c r="SBJ30" s="28"/>
      <c r="SBL30" s="55"/>
      <c r="SBM30" s="53"/>
      <c r="SBQ30" s="28"/>
      <c r="SBS30" s="55"/>
      <c r="SBT30" s="53"/>
      <c r="SBX30" s="28"/>
      <c r="SBZ30" s="55"/>
      <c r="SCA30" s="53"/>
      <c r="SCE30" s="28"/>
      <c r="SCG30" s="55"/>
      <c r="SCH30" s="53"/>
      <c r="SCL30" s="28"/>
      <c r="SCN30" s="55"/>
      <c r="SCO30" s="53"/>
      <c r="SCS30" s="28"/>
      <c r="SCU30" s="55"/>
      <c r="SCV30" s="53"/>
      <c r="SCZ30" s="28"/>
      <c r="SDB30" s="55"/>
      <c r="SDC30" s="53"/>
      <c r="SDG30" s="28"/>
      <c r="SDI30" s="55"/>
      <c r="SDJ30" s="53"/>
      <c r="SDN30" s="28"/>
      <c r="SDP30" s="55"/>
      <c r="SDQ30" s="53"/>
      <c r="SDU30" s="28"/>
      <c r="SDW30" s="55"/>
      <c r="SDX30" s="53"/>
      <c r="SEB30" s="28"/>
      <c r="SED30" s="55"/>
      <c r="SEE30" s="53"/>
      <c r="SEI30" s="28"/>
      <c r="SEK30" s="55"/>
      <c r="SEL30" s="53"/>
      <c r="SEP30" s="28"/>
      <c r="SER30" s="55"/>
      <c r="SES30" s="53"/>
      <c r="SEW30" s="28"/>
      <c r="SEY30" s="55"/>
      <c r="SEZ30" s="53"/>
      <c r="SFD30" s="28"/>
      <c r="SFF30" s="55"/>
      <c r="SFG30" s="53"/>
      <c r="SFK30" s="28"/>
      <c r="SFM30" s="55"/>
      <c r="SFN30" s="53"/>
      <c r="SFR30" s="28"/>
      <c r="SFT30" s="55"/>
      <c r="SFU30" s="53"/>
      <c r="SFY30" s="28"/>
      <c r="SGA30" s="55"/>
      <c r="SGB30" s="53"/>
      <c r="SGF30" s="28"/>
      <c r="SGH30" s="55"/>
      <c r="SGI30" s="53"/>
      <c r="SGM30" s="28"/>
      <c r="SGO30" s="55"/>
      <c r="SGP30" s="53"/>
      <c r="SGT30" s="28"/>
      <c r="SGV30" s="55"/>
      <c r="SGW30" s="53"/>
      <c r="SHA30" s="28"/>
      <c r="SHC30" s="55"/>
      <c r="SHD30" s="53"/>
      <c r="SHH30" s="28"/>
      <c r="SHJ30" s="55"/>
      <c r="SHK30" s="53"/>
      <c r="SHO30" s="28"/>
      <c r="SHQ30" s="55"/>
      <c r="SHR30" s="53"/>
      <c r="SHV30" s="28"/>
      <c r="SHX30" s="55"/>
      <c r="SHY30" s="53"/>
      <c r="SIC30" s="28"/>
      <c r="SIE30" s="55"/>
      <c r="SIF30" s="53"/>
      <c r="SIJ30" s="28"/>
      <c r="SIL30" s="55"/>
      <c r="SIM30" s="53"/>
      <c r="SIQ30" s="28"/>
      <c r="SIS30" s="55"/>
      <c r="SIT30" s="53"/>
      <c r="SIX30" s="28"/>
      <c r="SIZ30" s="55"/>
      <c r="SJA30" s="53"/>
      <c r="SJE30" s="28"/>
      <c r="SJG30" s="55"/>
      <c r="SJH30" s="53"/>
      <c r="SJL30" s="28"/>
      <c r="SJN30" s="55"/>
      <c r="SJO30" s="53"/>
      <c r="SJS30" s="28"/>
      <c r="SJU30" s="55"/>
      <c r="SJV30" s="53"/>
      <c r="SJZ30" s="28"/>
      <c r="SKB30" s="55"/>
      <c r="SKC30" s="53"/>
      <c r="SKG30" s="28"/>
      <c r="SKI30" s="55"/>
      <c r="SKJ30" s="53"/>
      <c r="SKN30" s="28"/>
      <c r="SKP30" s="55"/>
      <c r="SKQ30" s="53"/>
      <c r="SKU30" s="28"/>
      <c r="SKW30" s="55"/>
      <c r="SKX30" s="53"/>
      <c r="SLB30" s="28"/>
      <c r="SLD30" s="55"/>
      <c r="SLE30" s="53"/>
      <c r="SLI30" s="28"/>
      <c r="SLK30" s="55"/>
      <c r="SLL30" s="53"/>
      <c r="SLP30" s="28"/>
      <c r="SLR30" s="55"/>
      <c r="SLS30" s="53"/>
      <c r="SLW30" s="28"/>
      <c r="SLY30" s="55"/>
      <c r="SLZ30" s="53"/>
      <c r="SMD30" s="28"/>
      <c r="SMF30" s="55"/>
      <c r="SMG30" s="53"/>
      <c r="SMK30" s="28"/>
      <c r="SMM30" s="55"/>
      <c r="SMN30" s="53"/>
      <c r="SMR30" s="28"/>
      <c r="SMT30" s="55"/>
      <c r="SMU30" s="53"/>
      <c r="SMY30" s="28"/>
      <c r="SNA30" s="55"/>
      <c r="SNB30" s="53"/>
      <c r="SNF30" s="28"/>
      <c r="SNH30" s="55"/>
      <c r="SNI30" s="53"/>
      <c r="SNM30" s="28"/>
      <c r="SNO30" s="55"/>
      <c r="SNP30" s="53"/>
      <c r="SNT30" s="28"/>
      <c r="SNV30" s="55"/>
      <c r="SNW30" s="53"/>
      <c r="SOA30" s="28"/>
      <c r="SOC30" s="55"/>
      <c r="SOD30" s="53"/>
      <c r="SOH30" s="28"/>
      <c r="SOJ30" s="55"/>
      <c r="SOK30" s="53"/>
      <c r="SOO30" s="28"/>
      <c r="SOQ30" s="55"/>
      <c r="SOR30" s="53"/>
      <c r="SOV30" s="28"/>
      <c r="SOX30" s="55"/>
      <c r="SOY30" s="53"/>
      <c r="SPC30" s="28"/>
      <c r="SPE30" s="55"/>
      <c r="SPF30" s="53"/>
      <c r="SPJ30" s="28"/>
      <c r="SPL30" s="55"/>
      <c r="SPM30" s="53"/>
      <c r="SPQ30" s="28"/>
      <c r="SPS30" s="55"/>
      <c r="SPT30" s="53"/>
      <c r="SPX30" s="28"/>
      <c r="SPZ30" s="55"/>
      <c r="SQA30" s="53"/>
      <c r="SQE30" s="28"/>
      <c r="SQG30" s="55"/>
      <c r="SQH30" s="53"/>
      <c r="SQL30" s="28"/>
      <c r="SQN30" s="55"/>
      <c r="SQO30" s="53"/>
      <c r="SQS30" s="28"/>
      <c r="SQU30" s="55"/>
      <c r="SQV30" s="53"/>
      <c r="SQZ30" s="28"/>
      <c r="SRB30" s="55"/>
      <c r="SRC30" s="53"/>
      <c r="SRG30" s="28"/>
      <c r="SRI30" s="55"/>
      <c r="SRJ30" s="53"/>
      <c r="SRN30" s="28"/>
      <c r="SRP30" s="55"/>
      <c r="SRQ30" s="53"/>
      <c r="SRU30" s="28"/>
      <c r="SRW30" s="55"/>
      <c r="SRX30" s="53"/>
      <c r="SSB30" s="28"/>
      <c r="SSD30" s="55"/>
      <c r="SSE30" s="53"/>
      <c r="SSI30" s="28"/>
      <c r="SSK30" s="55"/>
      <c r="SSL30" s="53"/>
      <c r="SSP30" s="28"/>
      <c r="SSR30" s="55"/>
      <c r="SSS30" s="53"/>
      <c r="SSW30" s="28"/>
      <c r="SSY30" s="55"/>
      <c r="SSZ30" s="53"/>
      <c r="STD30" s="28"/>
      <c r="STF30" s="55"/>
      <c r="STG30" s="53"/>
      <c r="STK30" s="28"/>
      <c r="STM30" s="55"/>
      <c r="STN30" s="53"/>
      <c r="STR30" s="28"/>
      <c r="STT30" s="55"/>
      <c r="STU30" s="53"/>
      <c r="STY30" s="28"/>
      <c r="SUA30" s="55"/>
      <c r="SUB30" s="53"/>
      <c r="SUF30" s="28"/>
      <c r="SUH30" s="55"/>
      <c r="SUI30" s="53"/>
      <c r="SUM30" s="28"/>
      <c r="SUO30" s="55"/>
      <c r="SUP30" s="53"/>
      <c r="SUT30" s="28"/>
      <c r="SUV30" s="55"/>
      <c r="SUW30" s="53"/>
      <c r="SVA30" s="28"/>
      <c r="SVC30" s="55"/>
      <c r="SVD30" s="53"/>
      <c r="SVH30" s="28"/>
      <c r="SVJ30" s="55"/>
      <c r="SVK30" s="53"/>
      <c r="SVO30" s="28"/>
      <c r="SVQ30" s="55"/>
      <c r="SVR30" s="53"/>
      <c r="SVV30" s="28"/>
      <c r="SVX30" s="55"/>
      <c r="SVY30" s="53"/>
      <c r="SWC30" s="28"/>
      <c r="SWE30" s="55"/>
      <c r="SWF30" s="53"/>
      <c r="SWJ30" s="28"/>
      <c r="SWL30" s="55"/>
      <c r="SWM30" s="53"/>
      <c r="SWQ30" s="28"/>
      <c r="SWS30" s="55"/>
      <c r="SWT30" s="53"/>
      <c r="SWX30" s="28"/>
      <c r="SWZ30" s="55"/>
      <c r="SXA30" s="53"/>
      <c r="SXE30" s="28"/>
      <c r="SXG30" s="55"/>
      <c r="SXH30" s="53"/>
      <c r="SXL30" s="28"/>
      <c r="SXN30" s="55"/>
      <c r="SXO30" s="53"/>
      <c r="SXS30" s="28"/>
      <c r="SXU30" s="55"/>
      <c r="SXV30" s="53"/>
      <c r="SXZ30" s="28"/>
      <c r="SYB30" s="55"/>
      <c r="SYC30" s="53"/>
      <c r="SYG30" s="28"/>
      <c r="SYI30" s="55"/>
      <c r="SYJ30" s="53"/>
      <c r="SYN30" s="28"/>
      <c r="SYP30" s="55"/>
      <c r="SYQ30" s="53"/>
      <c r="SYU30" s="28"/>
      <c r="SYW30" s="55"/>
      <c r="SYX30" s="53"/>
      <c r="SZB30" s="28"/>
      <c r="SZD30" s="55"/>
      <c r="SZE30" s="53"/>
      <c r="SZI30" s="28"/>
      <c r="SZK30" s="55"/>
      <c r="SZL30" s="53"/>
      <c r="SZP30" s="28"/>
      <c r="SZR30" s="55"/>
      <c r="SZS30" s="53"/>
      <c r="SZW30" s="28"/>
      <c r="SZY30" s="55"/>
      <c r="SZZ30" s="53"/>
      <c r="TAD30" s="28"/>
      <c r="TAF30" s="55"/>
      <c r="TAG30" s="53"/>
      <c r="TAK30" s="28"/>
      <c r="TAM30" s="55"/>
      <c r="TAN30" s="53"/>
      <c r="TAR30" s="28"/>
      <c r="TAT30" s="55"/>
      <c r="TAU30" s="53"/>
      <c r="TAY30" s="28"/>
      <c r="TBA30" s="55"/>
      <c r="TBB30" s="53"/>
      <c r="TBF30" s="28"/>
      <c r="TBH30" s="55"/>
      <c r="TBI30" s="53"/>
      <c r="TBM30" s="28"/>
      <c r="TBO30" s="55"/>
      <c r="TBP30" s="53"/>
      <c r="TBT30" s="28"/>
      <c r="TBV30" s="55"/>
      <c r="TBW30" s="53"/>
      <c r="TCA30" s="28"/>
      <c r="TCC30" s="55"/>
      <c r="TCD30" s="53"/>
      <c r="TCH30" s="28"/>
      <c r="TCJ30" s="55"/>
      <c r="TCK30" s="53"/>
      <c r="TCO30" s="28"/>
      <c r="TCQ30" s="55"/>
      <c r="TCR30" s="53"/>
      <c r="TCV30" s="28"/>
      <c r="TCX30" s="55"/>
      <c r="TCY30" s="53"/>
      <c r="TDC30" s="28"/>
      <c r="TDE30" s="55"/>
      <c r="TDF30" s="53"/>
      <c r="TDJ30" s="28"/>
      <c r="TDL30" s="55"/>
      <c r="TDM30" s="53"/>
      <c r="TDQ30" s="28"/>
      <c r="TDS30" s="55"/>
      <c r="TDT30" s="53"/>
      <c r="TDX30" s="28"/>
      <c r="TDZ30" s="55"/>
      <c r="TEA30" s="53"/>
      <c r="TEE30" s="28"/>
      <c r="TEG30" s="55"/>
      <c r="TEH30" s="53"/>
      <c r="TEL30" s="28"/>
      <c r="TEN30" s="55"/>
      <c r="TEO30" s="53"/>
      <c r="TES30" s="28"/>
      <c r="TEU30" s="55"/>
      <c r="TEV30" s="53"/>
      <c r="TEZ30" s="28"/>
      <c r="TFB30" s="55"/>
      <c r="TFC30" s="53"/>
      <c r="TFG30" s="28"/>
      <c r="TFI30" s="55"/>
      <c r="TFJ30" s="53"/>
      <c r="TFN30" s="28"/>
      <c r="TFP30" s="55"/>
      <c r="TFQ30" s="53"/>
      <c r="TFU30" s="28"/>
      <c r="TFW30" s="55"/>
      <c r="TFX30" s="53"/>
      <c r="TGB30" s="28"/>
      <c r="TGD30" s="55"/>
      <c r="TGE30" s="53"/>
      <c r="TGI30" s="28"/>
      <c r="TGK30" s="55"/>
      <c r="TGL30" s="53"/>
      <c r="TGP30" s="28"/>
      <c r="TGR30" s="55"/>
      <c r="TGS30" s="53"/>
      <c r="TGW30" s="28"/>
      <c r="TGY30" s="55"/>
      <c r="TGZ30" s="53"/>
      <c r="THD30" s="28"/>
      <c r="THF30" s="55"/>
      <c r="THG30" s="53"/>
      <c r="THK30" s="28"/>
      <c r="THM30" s="55"/>
      <c r="THN30" s="53"/>
      <c r="THR30" s="28"/>
      <c r="THT30" s="55"/>
      <c r="THU30" s="53"/>
      <c r="THY30" s="28"/>
      <c r="TIA30" s="55"/>
      <c r="TIB30" s="53"/>
      <c r="TIF30" s="28"/>
      <c r="TIH30" s="55"/>
      <c r="TII30" s="53"/>
      <c r="TIM30" s="28"/>
      <c r="TIO30" s="55"/>
      <c r="TIP30" s="53"/>
      <c r="TIT30" s="28"/>
      <c r="TIV30" s="55"/>
      <c r="TIW30" s="53"/>
      <c r="TJA30" s="28"/>
      <c r="TJC30" s="55"/>
      <c r="TJD30" s="53"/>
      <c r="TJH30" s="28"/>
      <c r="TJJ30" s="55"/>
      <c r="TJK30" s="53"/>
      <c r="TJO30" s="28"/>
      <c r="TJQ30" s="55"/>
      <c r="TJR30" s="53"/>
      <c r="TJV30" s="28"/>
      <c r="TJX30" s="55"/>
      <c r="TJY30" s="53"/>
      <c r="TKC30" s="28"/>
      <c r="TKE30" s="55"/>
      <c r="TKF30" s="53"/>
      <c r="TKJ30" s="28"/>
      <c r="TKL30" s="55"/>
      <c r="TKM30" s="53"/>
      <c r="TKQ30" s="28"/>
      <c r="TKS30" s="55"/>
      <c r="TKT30" s="53"/>
      <c r="TKX30" s="28"/>
      <c r="TKZ30" s="55"/>
      <c r="TLA30" s="53"/>
      <c r="TLE30" s="28"/>
      <c r="TLG30" s="55"/>
      <c r="TLH30" s="53"/>
      <c r="TLL30" s="28"/>
      <c r="TLN30" s="55"/>
      <c r="TLO30" s="53"/>
      <c r="TLS30" s="28"/>
      <c r="TLU30" s="55"/>
      <c r="TLV30" s="53"/>
      <c r="TLZ30" s="28"/>
      <c r="TMB30" s="55"/>
      <c r="TMC30" s="53"/>
      <c r="TMG30" s="28"/>
      <c r="TMI30" s="55"/>
      <c r="TMJ30" s="53"/>
      <c r="TMN30" s="28"/>
      <c r="TMP30" s="55"/>
      <c r="TMQ30" s="53"/>
      <c r="TMU30" s="28"/>
      <c r="TMW30" s="55"/>
      <c r="TMX30" s="53"/>
      <c r="TNB30" s="28"/>
      <c r="TND30" s="55"/>
      <c r="TNE30" s="53"/>
      <c r="TNI30" s="28"/>
      <c r="TNK30" s="55"/>
      <c r="TNL30" s="53"/>
      <c r="TNP30" s="28"/>
      <c r="TNR30" s="55"/>
      <c r="TNS30" s="53"/>
      <c r="TNW30" s="28"/>
      <c r="TNY30" s="55"/>
      <c r="TNZ30" s="53"/>
      <c r="TOD30" s="28"/>
      <c r="TOF30" s="55"/>
      <c r="TOG30" s="53"/>
      <c r="TOK30" s="28"/>
      <c r="TOM30" s="55"/>
      <c r="TON30" s="53"/>
      <c r="TOR30" s="28"/>
      <c r="TOT30" s="55"/>
      <c r="TOU30" s="53"/>
      <c r="TOY30" s="28"/>
      <c r="TPA30" s="55"/>
      <c r="TPB30" s="53"/>
      <c r="TPF30" s="28"/>
      <c r="TPH30" s="55"/>
      <c r="TPI30" s="53"/>
      <c r="TPM30" s="28"/>
      <c r="TPO30" s="55"/>
      <c r="TPP30" s="53"/>
      <c r="TPT30" s="28"/>
      <c r="TPV30" s="55"/>
      <c r="TPW30" s="53"/>
      <c r="TQA30" s="28"/>
      <c r="TQC30" s="55"/>
      <c r="TQD30" s="53"/>
      <c r="TQH30" s="28"/>
      <c r="TQJ30" s="55"/>
      <c r="TQK30" s="53"/>
      <c r="TQO30" s="28"/>
      <c r="TQQ30" s="55"/>
      <c r="TQR30" s="53"/>
      <c r="TQV30" s="28"/>
      <c r="TQX30" s="55"/>
      <c r="TQY30" s="53"/>
      <c r="TRC30" s="28"/>
      <c r="TRE30" s="55"/>
      <c r="TRF30" s="53"/>
      <c r="TRJ30" s="28"/>
      <c r="TRL30" s="55"/>
      <c r="TRM30" s="53"/>
      <c r="TRQ30" s="28"/>
      <c r="TRS30" s="55"/>
      <c r="TRT30" s="53"/>
      <c r="TRX30" s="28"/>
      <c r="TRZ30" s="55"/>
      <c r="TSA30" s="53"/>
      <c r="TSE30" s="28"/>
      <c r="TSG30" s="55"/>
      <c r="TSH30" s="53"/>
      <c r="TSL30" s="28"/>
      <c r="TSN30" s="55"/>
      <c r="TSO30" s="53"/>
      <c r="TSS30" s="28"/>
      <c r="TSU30" s="55"/>
      <c r="TSV30" s="53"/>
      <c r="TSZ30" s="28"/>
      <c r="TTB30" s="55"/>
      <c r="TTC30" s="53"/>
      <c r="TTG30" s="28"/>
      <c r="TTI30" s="55"/>
      <c r="TTJ30" s="53"/>
      <c r="TTN30" s="28"/>
      <c r="TTP30" s="55"/>
      <c r="TTQ30" s="53"/>
      <c r="TTU30" s="28"/>
      <c r="TTW30" s="55"/>
      <c r="TTX30" s="53"/>
      <c r="TUB30" s="28"/>
      <c r="TUD30" s="55"/>
      <c r="TUE30" s="53"/>
      <c r="TUI30" s="28"/>
      <c r="TUK30" s="55"/>
      <c r="TUL30" s="53"/>
      <c r="TUP30" s="28"/>
      <c r="TUR30" s="55"/>
      <c r="TUS30" s="53"/>
      <c r="TUW30" s="28"/>
      <c r="TUY30" s="55"/>
      <c r="TUZ30" s="53"/>
      <c r="TVD30" s="28"/>
      <c r="TVF30" s="55"/>
      <c r="TVG30" s="53"/>
      <c r="TVK30" s="28"/>
      <c r="TVM30" s="55"/>
      <c r="TVN30" s="53"/>
      <c r="TVR30" s="28"/>
      <c r="TVT30" s="55"/>
      <c r="TVU30" s="53"/>
      <c r="TVY30" s="28"/>
      <c r="TWA30" s="55"/>
      <c r="TWB30" s="53"/>
      <c r="TWF30" s="28"/>
      <c r="TWH30" s="55"/>
      <c r="TWI30" s="53"/>
      <c r="TWM30" s="28"/>
      <c r="TWO30" s="55"/>
      <c r="TWP30" s="53"/>
      <c r="TWT30" s="28"/>
      <c r="TWV30" s="55"/>
      <c r="TWW30" s="53"/>
      <c r="TXA30" s="28"/>
      <c r="TXC30" s="55"/>
      <c r="TXD30" s="53"/>
      <c r="TXH30" s="28"/>
      <c r="TXJ30" s="55"/>
      <c r="TXK30" s="53"/>
      <c r="TXO30" s="28"/>
      <c r="TXQ30" s="55"/>
      <c r="TXR30" s="53"/>
      <c r="TXV30" s="28"/>
      <c r="TXX30" s="55"/>
      <c r="TXY30" s="53"/>
      <c r="TYC30" s="28"/>
      <c r="TYE30" s="55"/>
      <c r="TYF30" s="53"/>
      <c r="TYJ30" s="28"/>
      <c r="TYL30" s="55"/>
      <c r="TYM30" s="53"/>
      <c r="TYQ30" s="28"/>
      <c r="TYS30" s="55"/>
      <c r="TYT30" s="53"/>
      <c r="TYX30" s="28"/>
      <c r="TYZ30" s="55"/>
      <c r="TZA30" s="53"/>
      <c r="TZE30" s="28"/>
      <c r="TZG30" s="55"/>
      <c r="TZH30" s="53"/>
      <c r="TZL30" s="28"/>
      <c r="TZN30" s="55"/>
      <c r="TZO30" s="53"/>
      <c r="TZS30" s="28"/>
      <c r="TZU30" s="55"/>
      <c r="TZV30" s="53"/>
      <c r="TZZ30" s="28"/>
      <c r="UAB30" s="55"/>
      <c r="UAC30" s="53"/>
      <c r="UAG30" s="28"/>
      <c r="UAI30" s="55"/>
      <c r="UAJ30" s="53"/>
      <c r="UAN30" s="28"/>
      <c r="UAP30" s="55"/>
      <c r="UAQ30" s="53"/>
      <c r="UAU30" s="28"/>
      <c r="UAW30" s="55"/>
      <c r="UAX30" s="53"/>
      <c r="UBB30" s="28"/>
      <c r="UBD30" s="55"/>
      <c r="UBE30" s="53"/>
      <c r="UBI30" s="28"/>
      <c r="UBK30" s="55"/>
      <c r="UBL30" s="53"/>
      <c r="UBP30" s="28"/>
      <c r="UBR30" s="55"/>
      <c r="UBS30" s="53"/>
      <c r="UBW30" s="28"/>
      <c r="UBY30" s="55"/>
      <c r="UBZ30" s="53"/>
      <c r="UCD30" s="28"/>
      <c r="UCF30" s="55"/>
      <c r="UCG30" s="53"/>
      <c r="UCK30" s="28"/>
      <c r="UCM30" s="55"/>
      <c r="UCN30" s="53"/>
      <c r="UCR30" s="28"/>
      <c r="UCT30" s="55"/>
      <c r="UCU30" s="53"/>
      <c r="UCY30" s="28"/>
      <c r="UDA30" s="55"/>
      <c r="UDB30" s="53"/>
      <c r="UDF30" s="28"/>
      <c r="UDH30" s="55"/>
      <c r="UDI30" s="53"/>
      <c r="UDM30" s="28"/>
      <c r="UDO30" s="55"/>
      <c r="UDP30" s="53"/>
      <c r="UDT30" s="28"/>
      <c r="UDV30" s="55"/>
      <c r="UDW30" s="53"/>
      <c r="UEA30" s="28"/>
      <c r="UEC30" s="55"/>
      <c r="UED30" s="53"/>
      <c r="UEH30" s="28"/>
      <c r="UEJ30" s="55"/>
      <c r="UEK30" s="53"/>
      <c r="UEO30" s="28"/>
      <c r="UEQ30" s="55"/>
      <c r="UER30" s="53"/>
      <c r="UEV30" s="28"/>
      <c r="UEX30" s="55"/>
      <c r="UEY30" s="53"/>
      <c r="UFC30" s="28"/>
      <c r="UFE30" s="55"/>
      <c r="UFF30" s="53"/>
      <c r="UFJ30" s="28"/>
      <c r="UFL30" s="55"/>
      <c r="UFM30" s="53"/>
      <c r="UFQ30" s="28"/>
      <c r="UFS30" s="55"/>
      <c r="UFT30" s="53"/>
      <c r="UFX30" s="28"/>
      <c r="UFZ30" s="55"/>
      <c r="UGA30" s="53"/>
      <c r="UGE30" s="28"/>
      <c r="UGG30" s="55"/>
      <c r="UGH30" s="53"/>
      <c r="UGL30" s="28"/>
      <c r="UGN30" s="55"/>
      <c r="UGO30" s="53"/>
      <c r="UGS30" s="28"/>
      <c r="UGU30" s="55"/>
      <c r="UGV30" s="53"/>
      <c r="UGZ30" s="28"/>
      <c r="UHB30" s="55"/>
      <c r="UHC30" s="53"/>
      <c r="UHG30" s="28"/>
      <c r="UHI30" s="55"/>
      <c r="UHJ30" s="53"/>
      <c r="UHN30" s="28"/>
      <c r="UHP30" s="55"/>
      <c r="UHQ30" s="53"/>
      <c r="UHU30" s="28"/>
      <c r="UHW30" s="55"/>
      <c r="UHX30" s="53"/>
      <c r="UIB30" s="28"/>
      <c r="UID30" s="55"/>
      <c r="UIE30" s="53"/>
      <c r="UII30" s="28"/>
      <c r="UIK30" s="55"/>
      <c r="UIL30" s="53"/>
      <c r="UIP30" s="28"/>
      <c r="UIR30" s="55"/>
      <c r="UIS30" s="53"/>
      <c r="UIW30" s="28"/>
      <c r="UIY30" s="55"/>
      <c r="UIZ30" s="53"/>
      <c r="UJD30" s="28"/>
      <c r="UJF30" s="55"/>
      <c r="UJG30" s="53"/>
      <c r="UJK30" s="28"/>
      <c r="UJM30" s="55"/>
      <c r="UJN30" s="53"/>
      <c r="UJR30" s="28"/>
      <c r="UJT30" s="55"/>
      <c r="UJU30" s="53"/>
      <c r="UJY30" s="28"/>
      <c r="UKA30" s="55"/>
      <c r="UKB30" s="53"/>
      <c r="UKF30" s="28"/>
      <c r="UKH30" s="55"/>
      <c r="UKI30" s="53"/>
      <c r="UKM30" s="28"/>
      <c r="UKO30" s="55"/>
      <c r="UKP30" s="53"/>
      <c r="UKT30" s="28"/>
      <c r="UKV30" s="55"/>
      <c r="UKW30" s="53"/>
      <c r="ULA30" s="28"/>
      <c r="ULC30" s="55"/>
      <c r="ULD30" s="53"/>
      <c r="ULH30" s="28"/>
      <c r="ULJ30" s="55"/>
      <c r="ULK30" s="53"/>
      <c r="ULO30" s="28"/>
      <c r="ULQ30" s="55"/>
      <c r="ULR30" s="53"/>
      <c r="ULV30" s="28"/>
      <c r="ULX30" s="55"/>
      <c r="ULY30" s="53"/>
      <c r="UMC30" s="28"/>
      <c r="UME30" s="55"/>
      <c r="UMF30" s="53"/>
      <c r="UMJ30" s="28"/>
      <c r="UML30" s="55"/>
      <c r="UMM30" s="53"/>
      <c r="UMQ30" s="28"/>
      <c r="UMS30" s="55"/>
      <c r="UMT30" s="53"/>
      <c r="UMX30" s="28"/>
      <c r="UMZ30" s="55"/>
      <c r="UNA30" s="53"/>
      <c r="UNE30" s="28"/>
      <c r="UNG30" s="55"/>
      <c r="UNH30" s="53"/>
      <c r="UNL30" s="28"/>
      <c r="UNN30" s="55"/>
      <c r="UNO30" s="53"/>
      <c r="UNS30" s="28"/>
      <c r="UNU30" s="55"/>
      <c r="UNV30" s="53"/>
      <c r="UNZ30" s="28"/>
      <c r="UOB30" s="55"/>
      <c r="UOC30" s="53"/>
      <c r="UOG30" s="28"/>
      <c r="UOI30" s="55"/>
      <c r="UOJ30" s="53"/>
      <c r="UON30" s="28"/>
      <c r="UOP30" s="55"/>
      <c r="UOQ30" s="53"/>
      <c r="UOU30" s="28"/>
      <c r="UOW30" s="55"/>
      <c r="UOX30" s="53"/>
      <c r="UPB30" s="28"/>
      <c r="UPD30" s="55"/>
      <c r="UPE30" s="53"/>
      <c r="UPI30" s="28"/>
      <c r="UPK30" s="55"/>
      <c r="UPL30" s="53"/>
      <c r="UPP30" s="28"/>
      <c r="UPR30" s="55"/>
      <c r="UPS30" s="53"/>
      <c r="UPW30" s="28"/>
      <c r="UPY30" s="55"/>
      <c r="UPZ30" s="53"/>
      <c r="UQD30" s="28"/>
      <c r="UQF30" s="55"/>
      <c r="UQG30" s="53"/>
      <c r="UQK30" s="28"/>
      <c r="UQM30" s="55"/>
      <c r="UQN30" s="53"/>
      <c r="UQR30" s="28"/>
      <c r="UQT30" s="55"/>
      <c r="UQU30" s="53"/>
      <c r="UQY30" s="28"/>
      <c r="URA30" s="55"/>
      <c r="URB30" s="53"/>
      <c r="URF30" s="28"/>
      <c r="URH30" s="55"/>
      <c r="URI30" s="53"/>
      <c r="URM30" s="28"/>
      <c r="URO30" s="55"/>
      <c r="URP30" s="53"/>
      <c r="URT30" s="28"/>
      <c r="URV30" s="55"/>
      <c r="URW30" s="53"/>
      <c r="USA30" s="28"/>
      <c r="USC30" s="55"/>
      <c r="USD30" s="53"/>
      <c r="USH30" s="28"/>
      <c r="USJ30" s="55"/>
      <c r="USK30" s="53"/>
      <c r="USO30" s="28"/>
      <c r="USQ30" s="55"/>
      <c r="USR30" s="53"/>
      <c r="USV30" s="28"/>
      <c r="USX30" s="55"/>
      <c r="USY30" s="53"/>
      <c r="UTC30" s="28"/>
      <c r="UTE30" s="55"/>
      <c r="UTF30" s="53"/>
      <c r="UTJ30" s="28"/>
      <c r="UTL30" s="55"/>
      <c r="UTM30" s="53"/>
      <c r="UTQ30" s="28"/>
      <c r="UTS30" s="55"/>
      <c r="UTT30" s="53"/>
      <c r="UTX30" s="28"/>
      <c r="UTZ30" s="55"/>
      <c r="UUA30" s="53"/>
      <c r="UUE30" s="28"/>
      <c r="UUG30" s="55"/>
      <c r="UUH30" s="53"/>
      <c r="UUL30" s="28"/>
      <c r="UUN30" s="55"/>
      <c r="UUO30" s="53"/>
      <c r="UUS30" s="28"/>
      <c r="UUU30" s="55"/>
      <c r="UUV30" s="53"/>
      <c r="UUZ30" s="28"/>
      <c r="UVB30" s="55"/>
      <c r="UVC30" s="53"/>
      <c r="UVG30" s="28"/>
      <c r="UVI30" s="55"/>
      <c r="UVJ30" s="53"/>
      <c r="UVN30" s="28"/>
      <c r="UVP30" s="55"/>
      <c r="UVQ30" s="53"/>
      <c r="UVU30" s="28"/>
      <c r="UVW30" s="55"/>
      <c r="UVX30" s="53"/>
      <c r="UWB30" s="28"/>
      <c r="UWD30" s="55"/>
      <c r="UWE30" s="53"/>
      <c r="UWI30" s="28"/>
      <c r="UWK30" s="55"/>
      <c r="UWL30" s="53"/>
      <c r="UWP30" s="28"/>
      <c r="UWR30" s="55"/>
      <c r="UWS30" s="53"/>
      <c r="UWW30" s="28"/>
      <c r="UWY30" s="55"/>
      <c r="UWZ30" s="53"/>
      <c r="UXD30" s="28"/>
      <c r="UXF30" s="55"/>
      <c r="UXG30" s="53"/>
      <c r="UXK30" s="28"/>
      <c r="UXM30" s="55"/>
      <c r="UXN30" s="53"/>
      <c r="UXR30" s="28"/>
      <c r="UXT30" s="55"/>
      <c r="UXU30" s="53"/>
      <c r="UXY30" s="28"/>
      <c r="UYA30" s="55"/>
      <c r="UYB30" s="53"/>
      <c r="UYF30" s="28"/>
      <c r="UYH30" s="55"/>
      <c r="UYI30" s="53"/>
      <c r="UYM30" s="28"/>
      <c r="UYO30" s="55"/>
      <c r="UYP30" s="53"/>
      <c r="UYT30" s="28"/>
      <c r="UYV30" s="55"/>
      <c r="UYW30" s="53"/>
      <c r="UZA30" s="28"/>
      <c r="UZC30" s="55"/>
      <c r="UZD30" s="53"/>
      <c r="UZH30" s="28"/>
      <c r="UZJ30" s="55"/>
      <c r="UZK30" s="53"/>
      <c r="UZO30" s="28"/>
      <c r="UZQ30" s="55"/>
      <c r="UZR30" s="53"/>
      <c r="UZV30" s="28"/>
      <c r="UZX30" s="55"/>
      <c r="UZY30" s="53"/>
      <c r="VAC30" s="28"/>
      <c r="VAE30" s="55"/>
      <c r="VAF30" s="53"/>
      <c r="VAJ30" s="28"/>
      <c r="VAL30" s="55"/>
      <c r="VAM30" s="53"/>
      <c r="VAQ30" s="28"/>
      <c r="VAS30" s="55"/>
      <c r="VAT30" s="53"/>
      <c r="VAX30" s="28"/>
      <c r="VAZ30" s="55"/>
      <c r="VBA30" s="53"/>
      <c r="VBE30" s="28"/>
      <c r="VBG30" s="55"/>
      <c r="VBH30" s="53"/>
      <c r="VBL30" s="28"/>
      <c r="VBN30" s="55"/>
      <c r="VBO30" s="53"/>
      <c r="VBS30" s="28"/>
      <c r="VBU30" s="55"/>
      <c r="VBV30" s="53"/>
      <c r="VBZ30" s="28"/>
      <c r="VCB30" s="55"/>
      <c r="VCC30" s="53"/>
      <c r="VCG30" s="28"/>
      <c r="VCI30" s="55"/>
      <c r="VCJ30" s="53"/>
      <c r="VCN30" s="28"/>
      <c r="VCP30" s="55"/>
      <c r="VCQ30" s="53"/>
      <c r="VCU30" s="28"/>
      <c r="VCW30" s="55"/>
      <c r="VCX30" s="53"/>
      <c r="VDB30" s="28"/>
      <c r="VDD30" s="55"/>
      <c r="VDE30" s="53"/>
      <c r="VDI30" s="28"/>
      <c r="VDK30" s="55"/>
      <c r="VDL30" s="53"/>
      <c r="VDP30" s="28"/>
      <c r="VDR30" s="55"/>
      <c r="VDS30" s="53"/>
      <c r="VDW30" s="28"/>
      <c r="VDY30" s="55"/>
      <c r="VDZ30" s="53"/>
      <c r="VED30" s="28"/>
      <c r="VEF30" s="55"/>
      <c r="VEG30" s="53"/>
      <c r="VEK30" s="28"/>
      <c r="VEM30" s="55"/>
      <c r="VEN30" s="53"/>
      <c r="VER30" s="28"/>
      <c r="VET30" s="55"/>
      <c r="VEU30" s="53"/>
      <c r="VEY30" s="28"/>
      <c r="VFA30" s="55"/>
      <c r="VFB30" s="53"/>
      <c r="VFF30" s="28"/>
      <c r="VFH30" s="55"/>
      <c r="VFI30" s="53"/>
      <c r="VFM30" s="28"/>
      <c r="VFO30" s="55"/>
      <c r="VFP30" s="53"/>
      <c r="VFT30" s="28"/>
      <c r="VFV30" s="55"/>
      <c r="VFW30" s="53"/>
      <c r="VGA30" s="28"/>
      <c r="VGC30" s="55"/>
      <c r="VGD30" s="53"/>
      <c r="VGH30" s="28"/>
      <c r="VGJ30" s="55"/>
      <c r="VGK30" s="53"/>
      <c r="VGO30" s="28"/>
      <c r="VGQ30" s="55"/>
      <c r="VGR30" s="53"/>
      <c r="VGV30" s="28"/>
      <c r="VGX30" s="55"/>
      <c r="VGY30" s="53"/>
      <c r="VHC30" s="28"/>
      <c r="VHE30" s="55"/>
      <c r="VHF30" s="53"/>
      <c r="VHJ30" s="28"/>
      <c r="VHL30" s="55"/>
      <c r="VHM30" s="53"/>
      <c r="VHQ30" s="28"/>
      <c r="VHS30" s="55"/>
      <c r="VHT30" s="53"/>
      <c r="VHX30" s="28"/>
      <c r="VHZ30" s="55"/>
      <c r="VIA30" s="53"/>
      <c r="VIE30" s="28"/>
      <c r="VIG30" s="55"/>
      <c r="VIH30" s="53"/>
      <c r="VIL30" s="28"/>
      <c r="VIN30" s="55"/>
      <c r="VIO30" s="53"/>
      <c r="VIS30" s="28"/>
      <c r="VIU30" s="55"/>
      <c r="VIV30" s="53"/>
      <c r="VIZ30" s="28"/>
      <c r="VJB30" s="55"/>
      <c r="VJC30" s="53"/>
      <c r="VJG30" s="28"/>
      <c r="VJI30" s="55"/>
      <c r="VJJ30" s="53"/>
      <c r="VJN30" s="28"/>
      <c r="VJP30" s="55"/>
      <c r="VJQ30" s="53"/>
      <c r="VJU30" s="28"/>
      <c r="VJW30" s="55"/>
      <c r="VJX30" s="53"/>
      <c r="VKB30" s="28"/>
      <c r="VKD30" s="55"/>
      <c r="VKE30" s="53"/>
      <c r="VKI30" s="28"/>
      <c r="VKK30" s="55"/>
      <c r="VKL30" s="53"/>
      <c r="VKP30" s="28"/>
      <c r="VKR30" s="55"/>
      <c r="VKS30" s="53"/>
      <c r="VKW30" s="28"/>
      <c r="VKY30" s="55"/>
      <c r="VKZ30" s="53"/>
      <c r="VLD30" s="28"/>
      <c r="VLF30" s="55"/>
      <c r="VLG30" s="53"/>
      <c r="VLK30" s="28"/>
      <c r="VLM30" s="55"/>
      <c r="VLN30" s="53"/>
      <c r="VLR30" s="28"/>
      <c r="VLT30" s="55"/>
      <c r="VLU30" s="53"/>
      <c r="VLY30" s="28"/>
      <c r="VMA30" s="55"/>
      <c r="VMB30" s="53"/>
      <c r="VMF30" s="28"/>
      <c r="VMH30" s="55"/>
      <c r="VMI30" s="53"/>
      <c r="VMM30" s="28"/>
      <c r="VMO30" s="55"/>
      <c r="VMP30" s="53"/>
      <c r="VMT30" s="28"/>
      <c r="VMV30" s="55"/>
      <c r="VMW30" s="53"/>
      <c r="VNA30" s="28"/>
      <c r="VNC30" s="55"/>
      <c r="VND30" s="53"/>
      <c r="VNH30" s="28"/>
      <c r="VNJ30" s="55"/>
      <c r="VNK30" s="53"/>
      <c r="VNO30" s="28"/>
      <c r="VNQ30" s="55"/>
      <c r="VNR30" s="53"/>
      <c r="VNV30" s="28"/>
      <c r="VNX30" s="55"/>
      <c r="VNY30" s="53"/>
      <c r="VOC30" s="28"/>
      <c r="VOE30" s="55"/>
      <c r="VOF30" s="53"/>
      <c r="VOJ30" s="28"/>
      <c r="VOL30" s="55"/>
      <c r="VOM30" s="53"/>
      <c r="VOQ30" s="28"/>
      <c r="VOS30" s="55"/>
      <c r="VOT30" s="53"/>
      <c r="VOX30" s="28"/>
      <c r="VOZ30" s="55"/>
      <c r="VPA30" s="53"/>
      <c r="VPE30" s="28"/>
      <c r="VPG30" s="55"/>
      <c r="VPH30" s="53"/>
      <c r="VPL30" s="28"/>
      <c r="VPN30" s="55"/>
      <c r="VPO30" s="53"/>
      <c r="VPS30" s="28"/>
      <c r="VPU30" s="55"/>
      <c r="VPV30" s="53"/>
      <c r="VPZ30" s="28"/>
      <c r="VQB30" s="55"/>
      <c r="VQC30" s="53"/>
      <c r="VQG30" s="28"/>
      <c r="VQI30" s="55"/>
      <c r="VQJ30" s="53"/>
      <c r="VQN30" s="28"/>
      <c r="VQP30" s="55"/>
      <c r="VQQ30" s="53"/>
      <c r="VQU30" s="28"/>
      <c r="VQW30" s="55"/>
      <c r="VQX30" s="53"/>
      <c r="VRB30" s="28"/>
      <c r="VRD30" s="55"/>
      <c r="VRE30" s="53"/>
      <c r="VRI30" s="28"/>
      <c r="VRK30" s="55"/>
      <c r="VRL30" s="53"/>
      <c r="VRP30" s="28"/>
      <c r="VRR30" s="55"/>
      <c r="VRS30" s="53"/>
      <c r="VRW30" s="28"/>
      <c r="VRY30" s="55"/>
      <c r="VRZ30" s="53"/>
      <c r="VSD30" s="28"/>
      <c r="VSF30" s="55"/>
      <c r="VSG30" s="53"/>
      <c r="VSK30" s="28"/>
      <c r="VSM30" s="55"/>
      <c r="VSN30" s="53"/>
      <c r="VSR30" s="28"/>
      <c r="VST30" s="55"/>
      <c r="VSU30" s="53"/>
      <c r="VSY30" s="28"/>
      <c r="VTA30" s="55"/>
      <c r="VTB30" s="53"/>
      <c r="VTF30" s="28"/>
      <c r="VTH30" s="55"/>
      <c r="VTI30" s="53"/>
      <c r="VTM30" s="28"/>
      <c r="VTO30" s="55"/>
      <c r="VTP30" s="53"/>
      <c r="VTT30" s="28"/>
      <c r="VTV30" s="55"/>
      <c r="VTW30" s="53"/>
      <c r="VUA30" s="28"/>
      <c r="VUC30" s="55"/>
      <c r="VUD30" s="53"/>
      <c r="VUH30" s="28"/>
      <c r="VUJ30" s="55"/>
      <c r="VUK30" s="53"/>
      <c r="VUO30" s="28"/>
      <c r="VUQ30" s="55"/>
      <c r="VUR30" s="53"/>
      <c r="VUV30" s="28"/>
      <c r="VUX30" s="55"/>
      <c r="VUY30" s="53"/>
      <c r="VVC30" s="28"/>
      <c r="VVE30" s="55"/>
      <c r="VVF30" s="53"/>
      <c r="VVJ30" s="28"/>
      <c r="VVL30" s="55"/>
      <c r="VVM30" s="53"/>
      <c r="VVQ30" s="28"/>
      <c r="VVS30" s="55"/>
      <c r="VVT30" s="53"/>
      <c r="VVX30" s="28"/>
      <c r="VVZ30" s="55"/>
      <c r="VWA30" s="53"/>
      <c r="VWE30" s="28"/>
      <c r="VWG30" s="55"/>
      <c r="VWH30" s="53"/>
      <c r="VWL30" s="28"/>
      <c r="VWN30" s="55"/>
      <c r="VWO30" s="53"/>
      <c r="VWS30" s="28"/>
      <c r="VWU30" s="55"/>
      <c r="VWV30" s="53"/>
      <c r="VWZ30" s="28"/>
      <c r="VXB30" s="55"/>
      <c r="VXC30" s="53"/>
      <c r="VXG30" s="28"/>
      <c r="VXI30" s="55"/>
      <c r="VXJ30" s="53"/>
      <c r="VXN30" s="28"/>
      <c r="VXP30" s="55"/>
      <c r="VXQ30" s="53"/>
      <c r="VXU30" s="28"/>
      <c r="VXW30" s="55"/>
      <c r="VXX30" s="53"/>
      <c r="VYB30" s="28"/>
      <c r="VYD30" s="55"/>
      <c r="VYE30" s="53"/>
      <c r="VYI30" s="28"/>
      <c r="VYK30" s="55"/>
      <c r="VYL30" s="53"/>
      <c r="VYP30" s="28"/>
      <c r="VYR30" s="55"/>
      <c r="VYS30" s="53"/>
      <c r="VYW30" s="28"/>
      <c r="VYY30" s="55"/>
      <c r="VYZ30" s="53"/>
      <c r="VZD30" s="28"/>
      <c r="VZF30" s="55"/>
      <c r="VZG30" s="53"/>
      <c r="VZK30" s="28"/>
      <c r="VZM30" s="55"/>
      <c r="VZN30" s="53"/>
      <c r="VZR30" s="28"/>
      <c r="VZT30" s="55"/>
      <c r="VZU30" s="53"/>
      <c r="VZY30" s="28"/>
      <c r="WAA30" s="55"/>
      <c r="WAB30" s="53"/>
      <c r="WAF30" s="28"/>
      <c r="WAH30" s="55"/>
      <c r="WAI30" s="53"/>
      <c r="WAM30" s="28"/>
      <c r="WAO30" s="55"/>
      <c r="WAP30" s="53"/>
      <c r="WAT30" s="28"/>
      <c r="WAV30" s="55"/>
      <c r="WAW30" s="53"/>
      <c r="WBA30" s="28"/>
      <c r="WBC30" s="55"/>
      <c r="WBD30" s="53"/>
      <c r="WBH30" s="28"/>
      <c r="WBJ30" s="55"/>
      <c r="WBK30" s="53"/>
      <c r="WBO30" s="28"/>
      <c r="WBQ30" s="55"/>
      <c r="WBR30" s="53"/>
      <c r="WBV30" s="28"/>
      <c r="WBX30" s="55"/>
      <c r="WBY30" s="53"/>
      <c r="WCC30" s="28"/>
      <c r="WCE30" s="55"/>
      <c r="WCF30" s="53"/>
      <c r="WCJ30" s="28"/>
      <c r="WCL30" s="55"/>
      <c r="WCM30" s="53"/>
      <c r="WCQ30" s="28"/>
      <c r="WCS30" s="55"/>
      <c r="WCT30" s="53"/>
      <c r="WCX30" s="28"/>
      <c r="WCZ30" s="55"/>
      <c r="WDA30" s="53"/>
      <c r="WDE30" s="28"/>
      <c r="WDG30" s="55"/>
      <c r="WDH30" s="53"/>
      <c r="WDL30" s="28"/>
      <c r="WDN30" s="55"/>
      <c r="WDO30" s="53"/>
      <c r="WDS30" s="28"/>
      <c r="WDU30" s="55"/>
      <c r="WDV30" s="53"/>
      <c r="WDZ30" s="28"/>
      <c r="WEB30" s="55"/>
      <c r="WEC30" s="53"/>
      <c r="WEG30" s="28"/>
      <c r="WEI30" s="55"/>
      <c r="WEJ30" s="53"/>
      <c r="WEN30" s="28"/>
      <c r="WEP30" s="55"/>
      <c r="WEQ30" s="53"/>
      <c r="WEU30" s="28"/>
      <c r="WEW30" s="55"/>
      <c r="WEX30" s="53"/>
      <c r="WFB30" s="28"/>
      <c r="WFD30" s="55"/>
      <c r="WFE30" s="53"/>
      <c r="WFI30" s="28"/>
      <c r="WFK30" s="55"/>
      <c r="WFL30" s="53"/>
      <c r="WFP30" s="28"/>
      <c r="WFR30" s="55"/>
      <c r="WFS30" s="53"/>
      <c r="WFW30" s="28"/>
      <c r="WFY30" s="55"/>
      <c r="WFZ30" s="53"/>
      <c r="WGD30" s="28"/>
      <c r="WGF30" s="55"/>
      <c r="WGG30" s="53"/>
      <c r="WGK30" s="28"/>
      <c r="WGM30" s="55"/>
      <c r="WGN30" s="53"/>
      <c r="WGR30" s="28"/>
      <c r="WGT30" s="55"/>
      <c r="WGU30" s="53"/>
      <c r="WGY30" s="28"/>
      <c r="WHA30" s="55"/>
      <c r="WHB30" s="53"/>
      <c r="WHF30" s="28"/>
      <c r="WHH30" s="55"/>
      <c r="WHI30" s="53"/>
      <c r="WHM30" s="28"/>
      <c r="WHO30" s="55"/>
      <c r="WHP30" s="53"/>
      <c r="WHT30" s="28"/>
      <c r="WHV30" s="55"/>
      <c r="WHW30" s="53"/>
      <c r="WIA30" s="28"/>
      <c r="WIC30" s="55"/>
      <c r="WID30" s="53"/>
      <c r="WIH30" s="28"/>
      <c r="WIJ30" s="55"/>
      <c r="WIK30" s="53"/>
      <c r="WIO30" s="28"/>
      <c r="WIQ30" s="55"/>
      <c r="WIR30" s="53"/>
      <c r="WIV30" s="28"/>
      <c r="WIX30" s="55"/>
      <c r="WIY30" s="53"/>
      <c r="WJC30" s="28"/>
      <c r="WJE30" s="55"/>
      <c r="WJF30" s="53"/>
      <c r="WJJ30" s="28"/>
      <c r="WJL30" s="55"/>
      <c r="WJM30" s="53"/>
      <c r="WJQ30" s="28"/>
      <c r="WJS30" s="55"/>
      <c r="WJT30" s="53"/>
      <c r="WJX30" s="28"/>
      <c r="WJZ30" s="55"/>
      <c r="WKA30" s="53"/>
      <c r="WKE30" s="28"/>
      <c r="WKG30" s="55"/>
      <c r="WKH30" s="53"/>
      <c r="WKL30" s="28"/>
      <c r="WKN30" s="55"/>
      <c r="WKO30" s="53"/>
      <c r="WKS30" s="28"/>
      <c r="WKU30" s="55"/>
      <c r="WKV30" s="53"/>
      <c r="WKZ30" s="28"/>
      <c r="WLB30" s="55"/>
      <c r="WLC30" s="53"/>
      <c r="WLG30" s="28"/>
      <c r="WLI30" s="55"/>
      <c r="WLJ30" s="53"/>
      <c r="WLN30" s="28"/>
      <c r="WLP30" s="55"/>
      <c r="WLQ30" s="53"/>
      <c r="WLU30" s="28"/>
      <c r="WLW30" s="55"/>
      <c r="WLX30" s="53"/>
      <c r="WMB30" s="28"/>
      <c r="WMD30" s="55"/>
      <c r="WME30" s="53"/>
      <c r="WMI30" s="28"/>
      <c r="WMK30" s="55"/>
      <c r="WML30" s="53"/>
      <c r="WMP30" s="28"/>
      <c r="WMR30" s="55"/>
      <c r="WMS30" s="53"/>
      <c r="WMW30" s="28"/>
      <c r="WMY30" s="55"/>
      <c r="WMZ30" s="53"/>
      <c r="WND30" s="28"/>
      <c r="WNF30" s="55"/>
      <c r="WNG30" s="53"/>
      <c r="WNK30" s="28"/>
      <c r="WNM30" s="55"/>
      <c r="WNN30" s="53"/>
      <c r="WNR30" s="28"/>
      <c r="WNT30" s="55"/>
      <c r="WNU30" s="53"/>
      <c r="WNY30" s="28"/>
      <c r="WOA30" s="55"/>
      <c r="WOB30" s="53"/>
      <c r="WOF30" s="28"/>
      <c r="WOH30" s="55"/>
      <c r="WOI30" s="53"/>
      <c r="WOM30" s="28"/>
      <c r="WOO30" s="55"/>
      <c r="WOP30" s="53"/>
      <c r="WOT30" s="28"/>
      <c r="WOV30" s="55"/>
      <c r="WOW30" s="53"/>
      <c r="WPA30" s="28"/>
      <c r="WPC30" s="55"/>
      <c r="WPD30" s="53"/>
      <c r="WPH30" s="28"/>
      <c r="WPJ30" s="55"/>
      <c r="WPK30" s="53"/>
      <c r="WPO30" s="28"/>
      <c r="WPQ30" s="55"/>
      <c r="WPR30" s="53"/>
      <c r="WPV30" s="28"/>
      <c r="WPX30" s="55"/>
      <c r="WPY30" s="53"/>
      <c r="WQC30" s="28"/>
      <c r="WQE30" s="55"/>
      <c r="WQF30" s="53"/>
      <c r="WQJ30" s="28"/>
      <c r="WQL30" s="55"/>
      <c r="WQM30" s="53"/>
      <c r="WQQ30" s="28"/>
      <c r="WQS30" s="55"/>
      <c r="WQT30" s="53"/>
      <c r="WQX30" s="28"/>
      <c r="WQZ30" s="55"/>
      <c r="WRA30" s="53"/>
      <c r="WRE30" s="28"/>
      <c r="WRG30" s="55"/>
      <c r="WRH30" s="53"/>
      <c r="WRL30" s="28"/>
      <c r="WRN30" s="55"/>
      <c r="WRO30" s="53"/>
      <c r="WRS30" s="28"/>
      <c r="WRU30" s="55"/>
      <c r="WRV30" s="53"/>
      <c r="WRZ30" s="28"/>
      <c r="WSB30" s="55"/>
      <c r="WSC30" s="53"/>
      <c r="WSG30" s="28"/>
      <c r="WSI30" s="55"/>
      <c r="WSJ30" s="53"/>
      <c r="WSN30" s="28"/>
      <c r="WSP30" s="55"/>
      <c r="WSQ30" s="53"/>
      <c r="WSU30" s="28"/>
      <c r="WSW30" s="55"/>
      <c r="WSX30" s="53"/>
      <c r="WTB30" s="28"/>
      <c r="WTD30" s="55"/>
      <c r="WTE30" s="53"/>
      <c r="WTI30" s="28"/>
      <c r="WTK30" s="55"/>
      <c r="WTL30" s="53"/>
      <c r="WTP30" s="28"/>
      <c r="WTR30" s="55"/>
      <c r="WTS30" s="53"/>
      <c r="WTW30" s="28"/>
      <c r="WTY30" s="55"/>
      <c r="WTZ30" s="53"/>
      <c r="WUD30" s="28"/>
      <c r="WUF30" s="55"/>
      <c r="WUG30" s="53"/>
      <c r="WUK30" s="28"/>
      <c r="WUM30" s="55"/>
      <c r="WUN30" s="53"/>
      <c r="WUR30" s="28"/>
      <c r="WUT30" s="55"/>
      <c r="WUU30" s="53"/>
      <c r="WUY30" s="28"/>
      <c r="WVA30" s="55"/>
      <c r="WVB30" s="53"/>
      <c r="WVF30" s="28"/>
      <c r="WVH30" s="55"/>
      <c r="WVI30" s="53"/>
      <c r="WVM30" s="28"/>
      <c r="WVO30" s="55"/>
      <c r="WVP30" s="53"/>
      <c r="WVT30" s="28"/>
      <c r="WVV30" s="55"/>
      <c r="WVW30" s="53"/>
      <c r="WWA30" s="28"/>
      <c r="WWC30" s="55"/>
      <c r="WWD30" s="53"/>
      <c r="WWH30" s="28"/>
      <c r="WWJ30" s="55"/>
      <c r="WWK30" s="53"/>
      <c r="WWO30" s="28"/>
      <c r="WWQ30" s="55"/>
      <c r="WWR30" s="53"/>
      <c r="WWV30" s="28"/>
      <c r="WWX30" s="55"/>
      <c r="WWY30" s="53"/>
      <c r="WXC30" s="28"/>
      <c r="WXE30" s="55"/>
      <c r="WXF30" s="53"/>
      <c r="WXJ30" s="28"/>
      <c r="WXL30" s="55"/>
      <c r="WXM30" s="53"/>
      <c r="WXQ30" s="28"/>
      <c r="WXS30" s="55"/>
      <c r="WXT30" s="53"/>
      <c r="WXX30" s="28"/>
      <c r="WXZ30" s="55"/>
      <c r="WYA30" s="53"/>
      <c r="WYE30" s="28"/>
      <c r="WYG30" s="55"/>
      <c r="WYH30" s="53"/>
      <c r="WYL30" s="28"/>
      <c r="WYN30" s="55"/>
      <c r="WYO30" s="53"/>
      <c r="WYS30" s="28"/>
      <c r="WYU30" s="55"/>
      <c r="WYV30" s="53"/>
      <c r="WYZ30" s="28"/>
      <c r="WZB30" s="55"/>
      <c r="WZC30" s="53"/>
      <c r="WZG30" s="28"/>
      <c r="WZI30" s="55"/>
      <c r="WZJ30" s="53"/>
      <c r="WZN30" s="28"/>
      <c r="WZP30" s="55"/>
      <c r="WZQ30" s="53"/>
      <c r="WZU30" s="28"/>
      <c r="WZW30" s="55"/>
      <c r="WZX30" s="53"/>
      <c r="XAB30" s="28"/>
      <c r="XAD30" s="55"/>
      <c r="XAE30" s="53"/>
      <c r="XAI30" s="28"/>
      <c r="XAK30" s="55"/>
      <c r="XAL30" s="53"/>
      <c r="XAP30" s="28"/>
      <c r="XAR30" s="55"/>
      <c r="XAS30" s="53"/>
      <c r="XAW30" s="28"/>
      <c r="XAY30" s="55"/>
      <c r="XAZ30" s="53"/>
      <c r="XBD30" s="28"/>
      <c r="XBF30" s="55"/>
      <c r="XBG30" s="53"/>
      <c r="XBK30" s="28"/>
      <c r="XBM30" s="55"/>
      <c r="XBN30" s="53"/>
      <c r="XBR30" s="28"/>
      <c r="XBT30" s="55"/>
      <c r="XBU30" s="53"/>
      <c r="XBY30" s="28"/>
      <c r="XCA30" s="55"/>
      <c r="XCB30" s="53"/>
      <c r="XCF30" s="28"/>
      <c r="XCH30" s="55"/>
      <c r="XCI30" s="53"/>
      <c r="XCM30" s="28"/>
      <c r="XCO30" s="55"/>
      <c r="XCP30" s="53"/>
      <c r="XCT30" s="28"/>
      <c r="XCV30" s="55"/>
      <c r="XCW30" s="53"/>
      <c r="XDA30" s="28"/>
      <c r="XDC30" s="55"/>
      <c r="XDD30" s="53"/>
      <c r="XDH30" s="28"/>
      <c r="XDJ30" s="55"/>
      <c r="XDK30" s="53"/>
      <c r="XDO30" s="28"/>
      <c r="XDQ30" s="55"/>
      <c r="XDR30" s="53"/>
      <c r="XDV30" s="28"/>
      <c r="XDX30" s="55"/>
      <c r="XDY30" s="53"/>
      <c r="XEC30" s="28"/>
      <c r="XEE30" s="55"/>
      <c r="XEF30" s="53"/>
      <c r="XEJ30" s="28"/>
      <c r="XEL30" s="55"/>
      <c r="XEM30" s="53"/>
      <c r="XEQ30" s="28"/>
      <c r="XES30" s="55"/>
      <c r="XET30" s="53"/>
      <c r="XEX30" s="28"/>
      <c r="XEZ30" s="55"/>
      <c r="XFA30" s="53"/>
    </row>
    <row r="31" spans="1:1023 1027:2045 2049:3071 3073:4096 4100:5118 5122:6144 6146:8191 8195:9213 9217:10239 10241:11264 11268:12286 12290:13312 13314:15359 15363:16381" s="54" customFormat="1" ht="15" customHeight="1">
      <c r="A31" s="52" t="s">
        <v>241</v>
      </c>
      <c r="B31" s="50" t="s">
        <v>242</v>
      </c>
      <c r="C31" s="50" t="s">
        <v>243</v>
      </c>
      <c r="D31" s="50" t="s">
        <v>204</v>
      </c>
      <c r="E31" s="51">
        <v>30000</v>
      </c>
      <c r="F31" s="50" t="s">
        <v>108</v>
      </c>
      <c r="G31" s="42" t="s">
        <v>109</v>
      </c>
      <c r="H31" s="53"/>
      <c r="L31" s="28"/>
      <c r="N31" s="55"/>
      <c r="O31" s="53"/>
      <c r="S31" s="28"/>
      <c r="U31" s="55"/>
      <c r="V31" s="53"/>
      <c r="Z31" s="28"/>
      <c r="AB31" s="55"/>
      <c r="AC31" s="53"/>
      <c r="AG31" s="28"/>
      <c r="AI31" s="55"/>
      <c r="AJ31" s="53"/>
      <c r="AN31" s="28"/>
      <c r="AP31" s="55"/>
      <c r="AQ31" s="53"/>
      <c r="AU31" s="28"/>
      <c r="AW31" s="55"/>
      <c r="AX31" s="53"/>
      <c r="BB31" s="28"/>
      <c r="BD31" s="55"/>
      <c r="BE31" s="53"/>
      <c r="BI31" s="28"/>
      <c r="BK31" s="55"/>
      <c r="BL31" s="53"/>
      <c r="BP31" s="28"/>
      <c r="BR31" s="55"/>
      <c r="BS31" s="53"/>
      <c r="BW31" s="28"/>
      <c r="BY31" s="55"/>
      <c r="BZ31" s="53"/>
      <c r="CD31" s="28"/>
      <c r="CF31" s="55"/>
      <c r="CG31" s="53"/>
      <c r="CK31" s="28"/>
      <c r="CM31" s="55"/>
      <c r="CN31" s="53"/>
      <c r="CR31" s="28"/>
      <c r="CT31" s="55"/>
      <c r="CU31" s="53"/>
      <c r="CY31" s="28"/>
      <c r="DA31" s="55"/>
      <c r="DB31" s="53"/>
      <c r="DF31" s="28"/>
      <c r="DH31" s="55"/>
      <c r="DI31" s="53"/>
      <c r="DM31" s="28"/>
      <c r="DO31" s="55"/>
      <c r="DP31" s="53"/>
      <c r="DT31" s="28"/>
      <c r="DV31" s="55"/>
      <c r="DW31" s="53"/>
      <c r="EA31" s="28"/>
      <c r="EC31" s="55"/>
      <c r="ED31" s="53"/>
      <c r="EH31" s="28"/>
      <c r="EJ31" s="55"/>
      <c r="EK31" s="53"/>
      <c r="EO31" s="28"/>
      <c r="EQ31" s="55"/>
      <c r="ER31" s="53"/>
      <c r="EV31" s="28"/>
      <c r="EX31" s="55"/>
      <c r="EY31" s="53"/>
      <c r="FC31" s="28"/>
      <c r="FE31" s="55"/>
      <c r="FF31" s="53"/>
      <c r="FJ31" s="28"/>
      <c r="FL31" s="55"/>
      <c r="FM31" s="53"/>
      <c r="FQ31" s="28"/>
      <c r="FS31" s="55"/>
      <c r="FT31" s="53"/>
      <c r="FX31" s="28"/>
      <c r="FZ31" s="55"/>
      <c r="GA31" s="53"/>
      <c r="GE31" s="28"/>
      <c r="GG31" s="55"/>
      <c r="GH31" s="53"/>
      <c r="GL31" s="28"/>
      <c r="GN31" s="55"/>
      <c r="GO31" s="53"/>
      <c r="GS31" s="28"/>
      <c r="GU31" s="55"/>
      <c r="GV31" s="53"/>
      <c r="GZ31" s="28"/>
      <c r="HB31" s="55"/>
      <c r="HC31" s="53"/>
      <c r="HG31" s="28"/>
      <c r="HI31" s="55"/>
      <c r="HJ31" s="53"/>
      <c r="HN31" s="28"/>
      <c r="HP31" s="55"/>
      <c r="HQ31" s="53"/>
      <c r="HU31" s="28"/>
      <c r="HW31" s="55"/>
      <c r="HX31" s="53"/>
      <c r="IB31" s="28"/>
      <c r="ID31" s="55"/>
      <c r="IE31" s="53"/>
      <c r="II31" s="28"/>
      <c r="IK31" s="55"/>
      <c r="IL31" s="53"/>
      <c r="IP31" s="28"/>
      <c r="IR31" s="55"/>
      <c r="IS31" s="53"/>
      <c r="IW31" s="28"/>
      <c r="IY31" s="55"/>
      <c r="IZ31" s="53"/>
      <c r="JD31" s="28"/>
      <c r="JF31" s="55"/>
      <c r="JG31" s="53"/>
      <c r="JK31" s="28"/>
      <c r="JM31" s="55"/>
      <c r="JN31" s="53"/>
      <c r="JR31" s="28"/>
      <c r="JT31" s="55"/>
      <c r="JU31" s="53"/>
      <c r="JY31" s="28"/>
      <c r="KA31" s="55"/>
      <c r="KB31" s="53"/>
      <c r="KF31" s="28"/>
      <c r="KH31" s="55"/>
      <c r="KI31" s="53"/>
      <c r="KM31" s="28"/>
      <c r="KO31" s="55"/>
      <c r="KP31" s="53"/>
      <c r="KT31" s="28"/>
      <c r="KV31" s="55"/>
      <c r="KW31" s="53"/>
      <c r="LA31" s="28"/>
      <c r="LC31" s="55"/>
      <c r="LD31" s="53"/>
      <c r="LH31" s="28"/>
      <c r="LJ31" s="55"/>
      <c r="LK31" s="53"/>
      <c r="LO31" s="28"/>
      <c r="LQ31" s="55"/>
      <c r="LR31" s="53"/>
      <c r="LV31" s="28"/>
      <c r="LX31" s="55"/>
      <c r="LY31" s="53"/>
      <c r="MC31" s="28"/>
      <c r="ME31" s="55"/>
      <c r="MF31" s="53"/>
      <c r="MJ31" s="28"/>
      <c r="ML31" s="55"/>
      <c r="MM31" s="53"/>
      <c r="MQ31" s="28"/>
      <c r="MS31" s="55"/>
      <c r="MT31" s="53"/>
      <c r="MX31" s="28"/>
      <c r="MZ31" s="55"/>
      <c r="NA31" s="53"/>
      <c r="NE31" s="28"/>
      <c r="NG31" s="55"/>
      <c r="NH31" s="53"/>
      <c r="NL31" s="28"/>
      <c r="NN31" s="55"/>
      <c r="NO31" s="53"/>
      <c r="NS31" s="28"/>
      <c r="NU31" s="55"/>
      <c r="NV31" s="53"/>
      <c r="NZ31" s="28"/>
      <c r="OB31" s="55"/>
      <c r="OC31" s="53"/>
      <c r="OG31" s="28"/>
      <c r="OI31" s="55"/>
      <c r="OJ31" s="53"/>
      <c r="ON31" s="28"/>
      <c r="OP31" s="55"/>
      <c r="OQ31" s="53"/>
      <c r="OU31" s="28"/>
      <c r="OW31" s="55"/>
      <c r="OX31" s="53"/>
      <c r="PB31" s="28"/>
      <c r="PD31" s="55"/>
      <c r="PE31" s="53"/>
      <c r="PI31" s="28"/>
      <c r="PK31" s="55"/>
      <c r="PL31" s="53"/>
      <c r="PP31" s="28"/>
      <c r="PR31" s="55"/>
      <c r="PS31" s="53"/>
      <c r="PW31" s="28"/>
      <c r="PY31" s="55"/>
      <c r="PZ31" s="53"/>
      <c r="QD31" s="28"/>
      <c r="QF31" s="55"/>
      <c r="QG31" s="53"/>
      <c r="QK31" s="28"/>
      <c r="QM31" s="55"/>
      <c r="QN31" s="53"/>
      <c r="QR31" s="28"/>
      <c r="QT31" s="55"/>
      <c r="QU31" s="53"/>
      <c r="QY31" s="28"/>
      <c r="RA31" s="55"/>
      <c r="RB31" s="53"/>
      <c r="RF31" s="28"/>
      <c r="RH31" s="55"/>
      <c r="RI31" s="53"/>
      <c r="RM31" s="28"/>
      <c r="RO31" s="55"/>
      <c r="RP31" s="53"/>
      <c r="RT31" s="28"/>
      <c r="RV31" s="55"/>
      <c r="RW31" s="53"/>
      <c r="SA31" s="28"/>
      <c r="SC31" s="55"/>
      <c r="SD31" s="53"/>
      <c r="SH31" s="28"/>
      <c r="SJ31" s="55"/>
      <c r="SK31" s="53"/>
      <c r="SO31" s="28"/>
      <c r="SQ31" s="55"/>
      <c r="SR31" s="53"/>
      <c r="SV31" s="28"/>
      <c r="SX31" s="55"/>
      <c r="SY31" s="53"/>
      <c r="TC31" s="28"/>
      <c r="TE31" s="55"/>
      <c r="TF31" s="53"/>
      <c r="TJ31" s="28"/>
      <c r="TL31" s="55"/>
      <c r="TM31" s="53"/>
      <c r="TQ31" s="28"/>
      <c r="TS31" s="55"/>
      <c r="TT31" s="53"/>
      <c r="TX31" s="28"/>
      <c r="TZ31" s="55"/>
      <c r="UA31" s="53"/>
      <c r="UE31" s="28"/>
      <c r="UG31" s="55"/>
      <c r="UH31" s="53"/>
      <c r="UL31" s="28"/>
      <c r="UN31" s="55"/>
      <c r="UO31" s="53"/>
      <c r="US31" s="28"/>
      <c r="UU31" s="55"/>
      <c r="UV31" s="53"/>
      <c r="UZ31" s="28"/>
      <c r="VB31" s="55"/>
      <c r="VC31" s="53"/>
      <c r="VG31" s="28"/>
      <c r="VI31" s="55"/>
      <c r="VJ31" s="53"/>
      <c r="VN31" s="28"/>
      <c r="VP31" s="55"/>
      <c r="VQ31" s="53"/>
      <c r="VU31" s="28"/>
      <c r="VW31" s="55"/>
      <c r="VX31" s="53"/>
      <c r="WB31" s="28"/>
      <c r="WD31" s="55"/>
      <c r="WE31" s="53"/>
      <c r="WI31" s="28"/>
      <c r="WK31" s="55"/>
      <c r="WL31" s="53"/>
      <c r="WP31" s="28"/>
      <c r="WR31" s="55"/>
      <c r="WS31" s="53"/>
      <c r="WW31" s="28"/>
      <c r="WY31" s="55"/>
      <c r="WZ31" s="53"/>
      <c r="XD31" s="28"/>
      <c r="XF31" s="55"/>
      <c r="XG31" s="53"/>
      <c r="XK31" s="28"/>
      <c r="XM31" s="55"/>
      <c r="XN31" s="53"/>
      <c r="XR31" s="28"/>
      <c r="XT31" s="55"/>
      <c r="XU31" s="53"/>
      <c r="XY31" s="28"/>
      <c r="YA31" s="55"/>
      <c r="YB31" s="53"/>
      <c r="YF31" s="28"/>
      <c r="YH31" s="55"/>
      <c r="YI31" s="53"/>
      <c r="YM31" s="28"/>
      <c r="YO31" s="55"/>
      <c r="YP31" s="53"/>
      <c r="YT31" s="28"/>
      <c r="YV31" s="55"/>
      <c r="YW31" s="53"/>
      <c r="ZA31" s="28"/>
      <c r="ZC31" s="55"/>
      <c r="ZD31" s="53"/>
      <c r="ZH31" s="28"/>
      <c r="ZJ31" s="55"/>
      <c r="ZK31" s="53"/>
      <c r="ZO31" s="28"/>
      <c r="ZQ31" s="55"/>
      <c r="ZR31" s="53"/>
      <c r="ZV31" s="28"/>
      <c r="ZX31" s="55"/>
      <c r="ZY31" s="53"/>
      <c r="AAC31" s="28"/>
      <c r="AAE31" s="55"/>
      <c r="AAF31" s="53"/>
      <c r="AAJ31" s="28"/>
      <c r="AAL31" s="55"/>
      <c r="AAM31" s="53"/>
      <c r="AAQ31" s="28"/>
      <c r="AAS31" s="55"/>
      <c r="AAT31" s="53"/>
      <c r="AAX31" s="28"/>
      <c r="AAZ31" s="55"/>
      <c r="ABA31" s="53"/>
      <c r="ABE31" s="28"/>
      <c r="ABG31" s="55"/>
      <c r="ABH31" s="53"/>
      <c r="ABL31" s="28"/>
      <c r="ABN31" s="55"/>
      <c r="ABO31" s="53"/>
      <c r="ABS31" s="28"/>
      <c r="ABU31" s="55"/>
      <c r="ABV31" s="53"/>
      <c r="ABZ31" s="28"/>
      <c r="ACB31" s="55"/>
      <c r="ACC31" s="53"/>
      <c r="ACG31" s="28"/>
      <c r="ACI31" s="55"/>
      <c r="ACJ31" s="53"/>
      <c r="ACN31" s="28"/>
      <c r="ACP31" s="55"/>
      <c r="ACQ31" s="53"/>
      <c r="ACU31" s="28"/>
      <c r="ACW31" s="55"/>
      <c r="ACX31" s="53"/>
      <c r="ADB31" s="28"/>
      <c r="ADD31" s="55"/>
      <c r="ADE31" s="53"/>
      <c r="ADI31" s="28"/>
      <c r="ADK31" s="55"/>
      <c r="ADL31" s="53"/>
      <c r="ADP31" s="28"/>
      <c r="ADR31" s="55"/>
      <c r="ADS31" s="53"/>
      <c r="ADW31" s="28"/>
      <c r="ADY31" s="55"/>
      <c r="ADZ31" s="53"/>
      <c r="AED31" s="28"/>
      <c r="AEF31" s="55"/>
      <c r="AEG31" s="53"/>
      <c r="AEK31" s="28"/>
      <c r="AEM31" s="55"/>
      <c r="AEN31" s="53"/>
      <c r="AER31" s="28"/>
      <c r="AET31" s="55"/>
      <c r="AEU31" s="53"/>
      <c r="AEY31" s="28"/>
      <c r="AFA31" s="55"/>
      <c r="AFB31" s="53"/>
      <c r="AFF31" s="28"/>
      <c r="AFH31" s="55"/>
      <c r="AFI31" s="53"/>
      <c r="AFM31" s="28"/>
      <c r="AFO31" s="55"/>
      <c r="AFP31" s="53"/>
      <c r="AFT31" s="28"/>
      <c r="AFV31" s="55"/>
      <c r="AFW31" s="53"/>
      <c r="AGA31" s="28"/>
      <c r="AGC31" s="55"/>
      <c r="AGD31" s="53"/>
      <c r="AGH31" s="28"/>
      <c r="AGJ31" s="55"/>
      <c r="AGK31" s="53"/>
      <c r="AGO31" s="28"/>
      <c r="AGQ31" s="55"/>
      <c r="AGR31" s="53"/>
      <c r="AGV31" s="28"/>
      <c r="AGX31" s="55"/>
      <c r="AGY31" s="53"/>
      <c r="AHC31" s="28"/>
      <c r="AHE31" s="55"/>
      <c r="AHF31" s="53"/>
      <c r="AHJ31" s="28"/>
      <c r="AHL31" s="55"/>
      <c r="AHM31" s="53"/>
      <c r="AHQ31" s="28"/>
      <c r="AHS31" s="55"/>
      <c r="AHT31" s="53"/>
      <c r="AHX31" s="28"/>
      <c r="AHZ31" s="55"/>
      <c r="AIA31" s="53"/>
      <c r="AIE31" s="28"/>
      <c r="AIG31" s="55"/>
      <c r="AIH31" s="53"/>
      <c r="AIL31" s="28"/>
      <c r="AIN31" s="55"/>
      <c r="AIO31" s="53"/>
      <c r="AIS31" s="28"/>
      <c r="AIU31" s="55"/>
      <c r="AIV31" s="53"/>
      <c r="AIZ31" s="28"/>
      <c r="AJB31" s="55"/>
      <c r="AJC31" s="53"/>
      <c r="AJG31" s="28"/>
      <c r="AJI31" s="55"/>
      <c r="AJJ31" s="53"/>
      <c r="AJN31" s="28"/>
      <c r="AJP31" s="55"/>
      <c r="AJQ31" s="53"/>
      <c r="AJU31" s="28"/>
      <c r="AJW31" s="55"/>
      <c r="AJX31" s="53"/>
      <c r="AKB31" s="28"/>
      <c r="AKD31" s="55"/>
      <c r="AKE31" s="53"/>
      <c r="AKI31" s="28"/>
      <c r="AKK31" s="55"/>
      <c r="AKL31" s="53"/>
      <c r="AKP31" s="28"/>
      <c r="AKR31" s="55"/>
      <c r="AKS31" s="53"/>
      <c r="AKW31" s="28"/>
      <c r="AKY31" s="55"/>
      <c r="AKZ31" s="53"/>
      <c r="ALD31" s="28"/>
      <c r="ALF31" s="55"/>
      <c r="ALG31" s="53"/>
      <c r="ALK31" s="28"/>
      <c r="ALM31" s="55"/>
      <c r="ALN31" s="53"/>
      <c r="ALR31" s="28"/>
      <c r="ALT31" s="55"/>
      <c r="ALU31" s="53"/>
      <c r="ALY31" s="28"/>
      <c r="AMA31" s="55"/>
      <c r="AMB31" s="53"/>
      <c r="AMF31" s="28"/>
      <c r="AMH31" s="55"/>
      <c r="AMI31" s="53"/>
      <c r="AMM31" s="28"/>
      <c r="AMO31" s="55"/>
      <c r="AMP31" s="53"/>
      <c r="AMT31" s="28"/>
      <c r="AMV31" s="55"/>
      <c r="AMW31" s="53"/>
      <c r="ANA31" s="28"/>
      <c r="ANC31" s="55"/>
      <c r="AND31" s="53"/>
      <c r="ANH31" s="28"/>
      <c r="ANJ31" s="55"/>
      <c r="ANK31" s="53"/>
      <c r="ANO31" s="28"/>
      <c r="ANQ31" s="55"/>
      <c r="ANR31" s="53"/>
      <c r="ANV31" s="28"/>
      <c r="ANX31" s="55"/>
      <c r="ANY31" s="53"/>
      <c r="AOC31" s="28"/>
      <c r="AOE31" s="55"/>
      <c r="AOF31" s="53"/>
      <c r="AOJ31" s="28"/>
      <c r="AOL31" s="55"/>
      <c r="AOM31" s="53"/>
      <c r="AOQ31" s="28"/>
      <c r="AOS31" s="55"/>
      <c r="AOT31" s="53"/>
      <c r="AOX31" s="28"/>
      <c r="AOZ31" s="55"/>
      <c r="APA31" s="53"/>
      <c r="APE31" s="28"/>
      <c r="APG31" s="55"/>
      <c r="APH31" s="53"/>
      <c r="APL31" s="28"/>
      <c r="APN31" s="55"/>
      <c r="APO31" s="53"/>
      <c r="APS31" s="28"/>
      <c r="APU31" s="55"/>
      <c r="APV31" s="53"/>
      <c r="APZ31" s="28"/>
      <c r="AQB31" s="55"/>
      <c r="AQC31" s="53"/>
      <c r="AQG31" s="28"/>
      <c r="AQI31" s="55"/>
      <c r="AQJ31" s="53"/>
      <c r="AQN31" s="28"/>
      <c r="AQP31" s="55"/>
      <c r="AQQ31" s="53"/>
      <c r="AQU31" s="28"/>
      <c r="AQW31" s="55"/>
      <c r="AQX31" s="53"/>
      <c r="ARB31" s="28"/>
      <c r="ARD31" s="55"/>
      <c r="ARE31" s="53"/>
      <c r="ARI31" s="28"/>
      <c r="ARK31" s="55"/>
      <c r="ARL31" s="53"/>
      <c r="ARP31" s="28"/>
      <c r="ARR31" s="55"/>
      <c r="ARS31" s="53"/>
      <c r="ARW31" s="28"/>
      <c r="ARY31" s="55"/>
      <c r="ARZ31" s="53"/>
      <c r="ASD31" s="28"/>
      <c r="ASF31" s="55"/>
      <c r="ASG31" s="53"/>
      <c r="ASK31" s="28"/>
      <c r="ASM31" s="55"/>
      <c r="ASN31" s="53"/>
      <c r="ASR31" s="28"/>
      <c r="AST31" s="55"/>
      <c r="ASU31" s="53"/>
      <c r="ASY31" s="28"/>
      <c r="ATA31" s="55"/>
      <c r="ATB31" s="53"/>
      <c r="ATF31" s="28"/>
      <c r="ATH31" s="55"/>
      <c r="ATI31" s="53"/>
      <c r="ATM31" s="28"/>
      <c r="ATO31" s="55"/>
      <c r="ATP31" s="53"/>
      <c r="ATT31" s="28"/>
      <c r="ATV31" s="55"/>
      <c r="ATW31" s="53"/>
      <c r="AUA31" s="28"/>
      <c r="AUC31" s="55"/>
      <c r="AUD31" s="53"/>
      <c r="AUH31" s="28"/>
      <c r="AUJ31" s="55"/>
      <c r="AUK31" s="53"/>
      <c r="AUO31" s="28"/>
      <c r="AUQ31" s="55"/>
      <c r="AUR31" s="53"/>
      <c r="AUV31" s="28"/>
      <c r="AUX31" s="55"/>
      <c r="AUY31" s="53"/>
      <c r="AVC31" s="28"/>
      <c r="AVE31" s="55"/>
      <c r="AVF31" s="53"/>
      <c r="AVJ31" s="28"/>
      <c r="AVL31" s="55"/>
      <c r="AVM31" s="53"/>
      <c r="AVQ31" s="28"/>
      <c r="AVS31" s="55"/>
      <c r="AVT31" s="53"/>
      <c r="AVX31" s="28"/>
      <c r="AVZ31" s="55"/>
      <c r="AWA31" s="53"/>
      <c r="AWE31" s="28"/>
      <c r="AWG31" s="55"/>
      <c r="AWH31" s="53"/>
      <c r="AWL31" s="28"/>
      <c r="AWN31" s="55"/>
      <c r="AWO31" s="53"/>
      <c r="AWS31" s="28"/>
      <c r="AWU31" s="55"/>
      <c r="AWV31" s="53"/>
      <c r="AWZ31" s="28"/>
      <c r="AXB31" s="55"/>
      <c r="AXC31" s="53"/>
      <c r="AXG31" s="28"/>
      <c r="AXI31" s="55"/>
      <c r="AXJ31" s="53"/>
      <c r="AXN31" s="28"/>
      <c r="AXP31" s="55"/>
      <c r="AXQ31" s="53"/>
      <c r="AXU31" s="28"/>
      <c r="AXW31" s="55"/>
      <c r="AXX31" s="53"/>
      <c r="AYB31" s="28"/>
      <c r="AYD31" s="55"/>
      <c r="AYE31" s="53"/>
      <c r="AYI31" s="28"/>
      <c r="AYK31" s="55"/>
      <c r="AYL31" s="53"/>
      <c r="AYP31" s="28"/>
      <c r="AYR31" s="55"/>
      <c r="AYS31" s="53"/>
      <c r="AYW31" s="28"/>
      <c r="AYY31" s="55"/>
      <c r="AYZ31" s="53"/>
      <c r="AZD31" s="28"/>
      <c r="AZF31" s="55"/>
      <c r="AZG31" s="53"/>
      <c r="AZK31" s="28"/>
      <c r="AZM31" s="55"/>
      <c r="AZN31" s="53"/>
      <c r="AZR31" s="28"/>
      <c r="AZT31" s="55"/>
      <c r="AZU31" s="53"/>
      <c r="AZY31" s="28"/>
      <c r="BAA31" s="55"/>
      <c r="BAB31" s="53"/>
      <c r="BAF31" s="28"/>
      <c r="BAH31" s="55"/>
      <c r="BAI31" s="53"/>
      <c r="BAM31" s="28"/>
      <c r="BAO31" s="55"/>
      <c r="BAP31" s="53"/>
      <c r="BAT31" s="28"/>
      <c r="BAV31" s="55"/>
      <c r="BAW31" s="53"/>
      <c r="BBA31" s="28"/>
      <c r="BBC31" s="55"/>
      <c r="BBD31" s="53"/>
      <c r="BBH31" s="28"/>
      <c r="BBJ31" s="55"/>
      <c r="BBK31" s="53"/>
      <c r="BBO31" s="28"/>
      <c r="BBQ31" s="55"/>
      <c r="BBR31" s="53"/>
      <c r="BBV31" s="28"/>
      <c r="BBX31" s="55"/>
      <c r="BBY31" s="53"/>
      <c r="BCC31" s="28"/>
      <c r="BCE31" s="55"/>
      <c r="BCF31" s="53"/>
      <c r="BCJ31" s="28"/>
      <c r="BCL31" s="55"/>
      <c r="BCM31" s="53"/>
      <c r="BCQ31" s="28"/>
      <c r="BCS31" s="55"/>
      <c r="BCT31" s="53"/>
      <c r="BCX31" s="28"/>
      <c r="BCZ31" s="55"/>
      <c r="BDA31" s="53"/>
      <c r="BDE31" s="28"/>
      <c r="BDG31" s="55"/>
      <c r="BDH31" s="53"/>
      <c r="BDL31" s="28"/>
      <c r="BDN31" s="55"/>
      <c r="BDO31" s="53"/>
      <c r="BDS31" s="28"/>
      <c r="BDU31" s="55"/>
      <c r="BDV31" s="53"/>
      <c r="BDZ31" s="28"/>
      <c r="BEB31" s="55"/>
      <c r="BEC31" s="53"/>
      <c r="BEG31" s="28"/>
      <c r="BEI31" s="55"/>
      <c r="BEJ31" s="53"/>
      <c r="BEN31" s="28"/>
      <c r="BEP31" s="55"/>
      <c r="BEQ31" s="53"/>
      <c r="BEU31" s="28"/>
      <c r="BEW31" s="55"/>
      <c r="BEX31" s="53"/>
      <c r="BFB31" s="28"/>
      <c r="BFD31" s="55"/>
      <c r="BFE31" s="53"/>
      <c r="BFI31" s="28"/>
      <c r="BFK31" s="55"/>
      <c r="BFL31" s="53"/>
      <c r="BFP31" s="28"/>
      <c r="BFR31" s="55"/>
      <c r="BFS31" s="53"/>
      <c r="BFW31" s="28"/>
      <c r="BFY31" s="55"/>
      <c r="BFZ31" s="53"/>
      <c r="BGD31" s="28"/>
      <c r="BGF31" s="55"/>
      <c r="BGG31" s="53"/>
      <c r="BGK31" s="28"/>
      <c r="BGM31" s="55"/>
      <c r="BGN31" s="53"/>
      <c r="BGR31" s="28"/>
      <c r="BGT31" s="55"/>
      <c r="BGU31" s="53"/>
      <c r="BGY31" s="28"/>
      <c r="BHA31" s="55"/>
      <c r="BHB31" s="53"/>
      <c r="BHF31" s="28"/>
      <c r="BHH31" s="55"/>
      <c r="BHI31" s="53"/>
      <c r="BHM31" s="28"/>
      <c r="BHO31" s="55"/>
      <c r="BHP31" s="53"/>
      <c r="BHT31" s="28"/>
      <c r="BHV31" s="55"/>
      <c r="BHW31" s="53"/>
      <c r="BIA31" s="28"/>
      <c r="BIC31" s="55"/>
      <c r="BID31" s="53"/>
      <c r="BIH31" s="28"/>
      <c r="BIJ31" s="55"/>
      <c r="BIK31" s="53"/>
      <c r="BIO31" s="28"/>
      <c r="BIQ31" s="55"/>
      <c r="BIR31" s="53"/>
      <c r="BIV31" s="28"/>
      <c r="BIX31" s="55"/>
      <c r="BIY31" s="53"/>
      <c r="BJC31" s="28"/>
      <c r="BJE31" s="55"/>
      <c r="BJF31" s="53"/>
      <c r="BJJ31" s="28"/>
      <c r="BJL31" s="55"/>
      <c r="BJM31" s="53"/>
      <c r="BJQ31" s="28"/>
      <c r="BJS31" s="55"/>
      <c r="BJT31" s="53"/>
      <c r="BJX31" s="28"/>
      <c r="BJZ31" s="55"/>
      <c r="BKA31" s="53"/>
      <c r="BKE31" s="28"/>
      <c r="BKG31" s="55"/>
      <c r="BKH31" s="53"/>
      <c r="BKL31" s="28"/>
      <c r="BKN31" s="55"/>
      <c r="BKO31" s="53"/>
      <c r="BKS31" s="28"/>
      <c r="BKU31" s="55"/>
      <c r="BKV31" s="53"/>
      <c r="BKZ31" s="28"/>
      <c r="BLB31" s="55"/>
      <c r="BLC31" s="53"/>
      <c r="BLG31" s="28"/>
      <c r="BLI31" s="55"/>
      <c r="BLJ31" s="53"/>
      <c r="BLN31" s="28"/>
      <c r="BLP31" s="55"/>
      <c r="BLQ31" s="53"/>
      <c r="BLU31" s="28"/>
      <c r="BLW31" s="55"/>
      <c r="BLX31" s="53"/>
      <c r="BMB31" s="28"/>
      <c r="BMD31" s="55"/>
      <c r="BME31" s="53"/>
      <c r="BMI31" s="28"/>
      <c r="BMK31" s="55"/>
      <c r="BML31" s="53"/>
      <c r="BMP31" s="28"/>
      <c r="BMR31" s="55"/>
      <c r="BMS31" s="53"/>
      <c r="BMW31" s="28"/>
      <c r="BMY31" s="55"/>
      <c r="BMZ31" s="53"/>
      <c r="BND31" s="28"/>
      <c r="BNF31" s="55"/>
      <c r="BNG31" s="53"/>
      <c r="BNK31" s="28"/>
      <c r="BNM31" s="55"/>
      <c r="BNN31" s="53"/>
      <c r="BNR31" s="28"/>
      <c r="BNT31" s="55"/>
      <c r="BNU31" s="53"/>
      <c r="BNY31" s="28"/>
      <c r="BOA31" s="55"/>
      <c r="BOB31" s="53"/>
      <c r="BOF31" s="28"/>
      <c r="BOH31" s="55"/>
      <c r="BOI31" s="53"/>
      <c r="BOM31" s="28"/>
      <c r="BOO31" s="55"/>
      <c r="BOP31" s="53"/>
      <c r="BOT31" s="28"/>
      <c r="BOV31" s="55"/>
      <c r="BOW31" s="53"/>
      <c r="BPA31" s="28"/>
      <c r="BPC31" s="55"/>
      <c r="BPD31" s="53"/>
      <c r="BPH31" s="28"/>
      <c r="BPJ31" s="55"/>
      <c r="BPK31" s="53"/>
      <c r="BPO31" s="28"/>
      <c r="BPQ31" s="55"/>
      <c r="BPR31" s="53"/>
      <c r="BPV31" s="28"/>
      <c r="BPX31" s="55"/>
      <c r="BPY31" s="53"/>
      <c r="BQC31" s="28"/>
      <c r="BQE31" s="55"/>
      <c r="BQF31" s="53"/>
      <c r="BQJ31" s="28"/>
      <c r="BQL31" s="55"/>
      <c r="BQM31" s="53"/>
      <c r="BQQ31" s="28"/>
      <c r="BQS31" s="55"/>
      <c r="BQT31" s="53"/>
      <c r="BQX31" s="28"/>
      <c r="BQZ31" s="55"/>
      <c r="BRA31" s="53"/>
      <c r="BRE31" s="28"/>
      <c r="BRG31" s="55"/>
      <c r="BRH31" s="53"/>
      <c r="BRL31" s="28"/>
      <c r="BRN31" s="55"/>
      <c r="BRO31" s="53"/>
      <c r="BRS31" s="28"/>
      <c r="BRU31" s="55"/>
      <c r="BRV31" s="53"/>
      <c r="BRZ31" s="28"/>
      <c r="BSB31" s="55"/>
      <c r="BSC31" s="53"/>
      <c r="BSG31" s="28"/>
      <c r="BSI31" s="55"/>
      <c r="BSJ31" s="53"/>
      <c r="BSN31" s="28"/>
      <c r="BSP31" s="55"/>
      <c r="BSQ31" s="53"/>
      <c r="BSU31" s="28"/>
      <c r="BSW31" s="55"/>
      <c r="BSX31" s="53"/>
      <c r="BTB31" s="28"/>
      <c r="BTD31" s="55"/>
      <c r="BTE31" s="53"/>
      <c r="BTI31" s="28"/>
      <c r="BTK31" s="55"/>
      <c r="BTL31" s="53"/>
      <c r="BTP31" s="28"/>
      <c r="BTR31" s="55"/>
      <c r="BTS31" s="53"/>
      <c r="BTW31" s="28"/>
      <c r="BTY31" s="55"/>
      <c r="BTZ31" s="53"/>
      <c r="BUD31" s="28"/>
      <c r="BUF31" s="55"/>
      <c r="BUG31" s="53"/>
      <c r="BUK31" s="28"/>
      <c r="BUM31" s="55"/>
      <c r="BUN31" s="53"/>
      <c r="BUR31" s="28"/>
      <c r="BUT31" s="55"/>
      <c r="BUU31" s="53"/>
      <c r="BUY31" s="28"/>
      <c r="BVA31" s="55"/>
      <c r="BVB31" s="53"/>
      <c r="BVF31" s="28"/>
      <c r="BVH31" s="55"/>
      <c r="BVI31" s="53"/>
      <c r="BVM31" s="28"/>
      <c r="BVO31" s="55"/>
      <c r="BVP31" s="53"/>
      <c r="BVT31" s="28"/>
      <c r="BVV31" s="55"/>
      <c r="BVW31" s="53"/>
      <c r="BWA31" s="28"/>
      <c r="BWC31" s="55"/>
      <c r="BWD31" s="53"/>
      <c r="BWH31" s="28"/>
      <c r="BWJ31" s="55"/>
      <c r="BWK31" s="53"/>
      <c r="BWO31" s="28"/>
      <c r="BWQ31" s="55"/>
      <c r="BWR31" s="53"/>
      <c r="BWV31" s="28"/>
      <c r="BWX31" s="55"/>
      <c r="BWY31" s="53"/>
      <c r="BXC31" s="28"/>
      <c r="BXE31" s="55"/>
      <c r="BXF31" s="53"/>
      <c r="BXJ31" s="28"/>
      <c r="BXL31" s="55"/>
      <c r="BXM31" s="53"/>
      <c r="BXQ31" s="28"/>
      <c r="BXS31" s="55"/>
      <c r="BXT31" s="53"/>
      <c r="BXX31" s="28"/>
      <c r="BXZ31" s="55"/>
      <c r="BYA31" s="53"/>
      <c r="BYE31" s="28"/>
      <c r="BYG31" s="55"/>
      <c r="BYH31" s="53"/>
      <c r="BYL31" s="28"/>
      <c r="BYN31" s="55"/>
      <c r="BYO31" s="53"/>
      <c r="BYS31" s="28"/>
      <c r="BYU31" s="55"/>
      <c r="BYV31" s="53"/>
      <c r="BYZ31" s="28"/>
      <c r="BZB31" s="55"/>
      <c r="BZC31" s="53"/>
      <c r="BZG31" s="28"/>
      <c r="BZI31" s="55"/>
      <c r="BZJ31" s="53"/>
      <c r="BZN31" s="28"/>
      <c r="BZP31" s="55"/>
      <c r="BZQ31" s="53"/>
      <c r="BZU31" s="28"/>
      <c r="BZW31" s="55"/>
      <c r="BZX31" s="53"/>
      <c r="CAB31" s="28"/>
      <c r="CAD31" s="55"/>
      <c r="CAE31" s="53"/>
      <c r="CAI31" s="28"/>
      <c r="CAK31" s="55"/>
      <c r="CAL31" s="53"/>
      <c r="CAP31" s="28"/>
      <c r="CAR31" s="55"/>
      <c r="CAS31" s="53"/>
      <c r="CAW31" s="28"/>
      <c r="CAY31" s="55"/>
      <c r="CAZ31" s="53"/>
      <c r="CBD31" s="28"/>
      <c r="CBF31" s="55"/>
      <c r="CBG31" s="53"/>
      <c r="CBK31" s="28"/>
      <c r="CBM31" s="55"/>
      <c r="CBN31" s="53"/>
      <c r="CBR31" s="28"/>
      <c r="CBT31" s="55"/>
      <c r="CBU31" s="53"/>
      <c r="CBY31" s="28"/>
      <c r="CCA31" s="55"/>
      <c r="CCB31" s="53"/>
      <c r="CCF31" s="28"/>
      <c r="CCH31" s="55"/>
      <c r="CCI31" s="53"/>
      <c r="CCM31" s="28"/>
      <c r="CCO31" s="55"/>
      <c r="CCP31" s="53"/>
      <c r="CCT31" s="28"/>
      <c r="CCV31" s="55"/>
      <c r="CCW31" s="53"/>
      <c r="CDA31" s="28"/>
      <c r="CDC31" s="55"/>
      <c r="CDD31" s="53"/>
      <c r="CDH31" s="28"/>
      <c r="CDJ31" s="55"/>
      <c r="CDK31" s="53"/>
      <c r="CDO31" s="28"/>
      <c r="CDQ31" s="55"/>
      <c r="CDR31" s="53"/>
      <c r="CDV31" s="28"/>
      <c r="CDX31" s="55"/>
      <c r="CDY31" s="53"/>
      <c r="CEC31" s="28"/>
      <c r="CEE31" s="55"/>
      <c r="CEF31" s="53"/>
      <c r="CEJ31" s="28"/>
      <c r="CEL31" s="55"/>
      <c r="CEM31" s="53"/>
      <c r="CEQ31" s="28"/>
      <c r="CES31" s="55"/>
      <c r="CET31" s="53"/>
      <c r="CEX31" s="28"/>
      <c r="CEZ31" s="55"/>
      <c r="CFA31" s="53"/>
      <c r="CFE31" s="28"/>
      <c r="CFG31" s="55"/>
      <c r="CFH31" s="53"/>
      <c r="CFL31" s="28"/>
      <c r="CFN31" s="55"/>
      <c r="CFO31" s="53"/>
      <c r="CFS31" s="28"/>
      <c r="CFU31" s="55"/>
      <c r="CFV31" s="53"/>
      <c r="CFZ31" s="28"/>
      <c r="CGB31" s="55"/>
      <c r="CGC31" s="53"/>
      <c r="CGG31" s="28"/>
      <c r="CGI31" s="55"/>
      <c r="CGJ31" s="53"/>
      <c r="CGN31" s="28"/>
      <c r="CGP31" s="55"/>
      <c r="CGQ31" s="53"/>
      <c r="CGU31" s="28"/>
      <c r="CGW31" s="55"/>
      <c r="CGX31" s="53"/>
      <c r="CHB31" s="28"/>
      <c r="CHD31" s="55"/>
      <c r="CHE31" s="53"/>
      <c r="CHI31" s="28"/>
      <c r="CHK31" s="55"/>
      <c r="CHL31" s="53"/>
      <c r="CHP31" s="28"/>
      <c r="CHR31" s="55"/>
      <c r="CHS31" s="53"/>
      <c r="CHW31" s="28"/>
      <c r="CHY31" s="55"/>
      <c r="CHZ31" s="53"/>
      <c r="CID31" s="28"/>
      <c r="CIF31" s="55"/>
      <c r="CIG31" s="53"/>
      <c r="CIK31" s="28"/>
      <c r="CIM31" s="55"/>
      <c r="CIN31" s="53"/>
      <c r="CIR31" s="28"/>
      <c r="CIT31" s="55"/>
      <c r="CIU31" s="53"/>
      <c r="CIY31" s="28"/>
      <c r="CJA31" s="55"/>
      <c r="CJB31" s="53"/>
      <c r="CJF31" s="28"/>
      <c r="CJH31" s="55"/>
      <c r="CJI31" s="53"/>
      <c r="CJM31" s="28"/>
      <c r="CJO31" s="55"/>
      <c r="CJP31" s="53"/>
      <c r="CJT31" s="28"/>
      <c r="CJV31" s="55"/>
      <c r="CJW31" s="53"/>
      <c r="CKA31" s="28"/>
      <c r="CKC31" s="55"/>
      <c r="CKD31" s="53"/>
      <c r="CKH31" s="28"/>
      <c r="CKJ31" s="55"/>
      <c r="CKK31" s="53"/>
      <c r="CKO31" s="28"/>
      <c r="CKQ31" s="55"/>
      <c r="CKR31" s="53"/>
      <c r="CKV31" s="28"/>
      <c r="CKX31" s="55"/>
      <c r="CKY31" s="53"/>
      <c r="CLC31" s="28"/>
      <c r="CLE31" s="55"/>
      <c r="CLF31" s="53"/>
      <c r="CLJ31" s="28"/>
      <c r="CLL31" s="55"/>
      <c r="CLM31" s="53"/>
      <c r="CLQ31" s="28"/>
      <c r="CLS31" s="55"/>
      <c r="CLT31" s="53"/>
      <c r="CLX31" s="28"/>
      <c r="CLZ31" s="55"/>
      <c r="CMA31" s="53"/>
      <c r="CME31" s="28"/>
      <c r="CMG31" s="55"/>
      <c r="CMH31" s="53"/>
      <c r="CML31" s="28"/>
      <c r="CMN31" s="55"/>
      <c r="CMO31" s="53"/>
      <c r="CMS31" s="28"/>
      <c r="CMU31" s="55"/>
      <c r="CMV31" s="53"/>
      <c r="CMZ31" s="28"/>
      <c r="CNB31" s="55"/>
      <c r="CNC31" s="53"/>
      <c r="CNG31" s="28"/>
      <c r="CNI31" s="55"/>
      <c r="CNJ31" s="53"/>
      <c r="CNN31" s="28"/>
      <c r="CNP31" s="55"/>
      <c r="CNQ31" s="53"/>
      <c r="CNU31" s="28"/>
      <c r="CNW31" s="55"/>
      <c r="CNX31" s="53"/>
      <c r="COB31" s="28"/>
      <c r="COD31" s="55"/>
      <c r="COE31" s="53"/>
      <c r="COI31" s="28"/>
      <c r="COK31" s="55"/>
      <c r="COL31" s="53"/>
      <c r="COP31" s="28"/>
      <c r="COR31" s="55"/>
      <c r="COS31" s="53"/>
      <c r="COW31" s="28"/>
      <c r="COY31" s="55"/>
      <c r="COZ31" s="53"/>
      <c r="CPD31" s="28"/>
      <c r="CPF31" s="55"/>
      <c r="CPG31" s="53"/>
      <c r="CPK31" s="28"/>
      <c r="CPM31" s="55"/>
      <c r="CPN31" s="53"/>
      <c r="CPR31" s="28"/>
      <c r="CPT31" s="55"/>
      <c r="CPU31" s="53"/>
      <c r="CPY31" s="28"/>
      <c r="CQA31" s="55"/>
      <c r="CQB31" s="53"/>
      <c r="CQF31" s="28"/>
      <c r="CQH31" s="55"/>
      <c r="CQI31" s="53"/>
      <c r="CQM31" s="28"/>
      <c r="CQO31" s="55"/>
      <c r="CQP31" s="53"/>
      <c r="CQT31" s="28"/>
      <c r="CQV31" s="55"/>
      <c r="CQW31" s="53"/>
      <c r="CRA31" s="28"/>
      <c r="CRC31" s="55"/>
      <c r="CRD31" s="53"/>
      <c r="CRH31" s="28"/>
      <c r="CRJ31" s="55"/>
      <c r="CRK31" s="53"/>
      <c r="CRO31" s="28"/>
      <c r="CRQ31" s="55"/>
      <c r="CRR31" s="53"/>
      <c r="CRV31" s="28"/>
      <c r="CRX31" s="55"/>
      <c r="CRY31" s="53"/>
      <c r="CSC31" s="28"/>
      <c r="CSE31" s="55"/>
      <c r="CSF31" s="53"/>
      <c r="CSJ31" s="28"/>
      <c r="CSL31" s="55"/>
      <c r="CSM31" s="53"/>
      <c r="CSQ31" s="28"/>
      <c r="CSS31" s="55"/>
      <c r="CST31" s="53"/>
      <c r="CSX31" s="28"/>
      <c r="CSZ31" s="55"/>
      <c r="CTA31" s="53"/>
      <c r="CTE31" s="28"/>
      <c r="CTG31" s="55"/>
      <c r="CTH31" s="53"/>
      <c r="CTL31" s="28"/>
      <c r="CTN31" s="55"/>
      <c r="CTO31" s="53"/>
      <c r="CTS31" s="28"/>
      <c r="CTU31" s="55"/>
      <c r="CTV31" s="53"/>
      <c r="CTZ31" s="28"/>
      <c r="CUB31" s="55"/>
      <c r="CUC31" s="53"/>
      <c r="CUG31" s="28"/>
      <c r="CUI31" s="55"/>
      <c r="CUJ31" s="53"/>
      <c r="CUN31" s="28"/>
      <c r="CUP31" s="55"/>
      <c r="CUQ31" s="53"/>
      <c r="CUU31" s="28"/>
      <c r="CUW31" s="55"/>
      <c r="CUX31" s="53"/>
      <c r="CVB31" s="28"/>
      <c r="CVD31" s="55"/>
      <c r="CVE31" s="53"/>
      <c r="CVI31" s="28"/>
      <c r="CVK31" s="55"/>
      <c r="CVL31" s="53"/>
      <c r="CVP31" s="28"/>
      <c r="CVR31" s="55"/>
      <c r="CVS31" s="53"/>
      <c r="CVW31" s="28"/>
      <c r="CVY31" s="55"/>
      <c r="CVZ31" s="53"/>
      <c r="CWD31" s="28"/>
      <c r="CWF31" s="55"/>
      <c r="CWG31" s="53"/>
      <c r="CWK31" s="28"/>
      <c r="CWM31" s="55"/>
      <c r="CWN31" s="53"/>
      <c r="CWR31" s="28"/>
      <c r="CWT31" s="55"/>
      <c r="CWU31" s="53"/>
      <c r="CWY31" s="28"/>
      <c r="CXA31" s="55"/>
      <c r="CXB31" s="53"/>
      <c r="CXF31" s="28"/>
      <c r="CXH31" s="55"/>
      <c r="CXI31" s="53"/>
      <c r="CXM31" s="28"/>
      <c r="CXO31" s="55"/>
      <c r="CXP31" s="53"/>
      <c r="CXT31" s="28"/>
      <c r="CXV31" s="55"/>
      <c r="CXW31" s="53"/>
      <c r="CYA31" s="28"/>
      <c r="CYC31" s="55"/>
      <c r="CYD31" s="53"/>
      <c r="CYH31" s="28"/>
      <c r="CYJ31" s="55"/>
      <c r="CYK31" s="53"/>
      <c r="CYO31" s="28"/>
      <c r="CYQ31" s="55"/>
      <c r="CYR31" s="53"/>
      <c r="CYV31" s="28"/>
      <c r="CYX31" s="55"/>
      <c r="CYY31" s="53"/>
      <c r="CZC31" s="28"/>
      <c r="CZE31" s="55"/>
      <c r="CZF31" s="53"/>
      <c r="CZJ31" s="28"/>
      <c r="CZL31" s="55"/>
      <c r="CZM31" s="53"/>
      <c r="CZQ31" s="28"/>
      <c r="CZS31" s="55"/>
      <c r="CZT31" s="53"/>
      <c r="CZX31" s="28"/>
      <c r="CZZ31" s="55"/>
      <c r="DAA31" s="53"/>
      <c r="DAE31" s="28"/>
      <c r="DAG31" s="55"/>
      <c r="DAH31" s="53"/>
      <c r="DAL31" s="28"/>
      <c r="DAN31" s="55"/>
      <c r="DAO31" s="53"/>
      <c r="DAS31" s="28"/>
      <c r="DAU31" s="55"/>
      <c r="DAV31" s="53"/>
      <c r="DAZ31" s="28"/>
      <c r="DBB31" s="55"/>
      <c r="DBC31" s="53"/>
      <c r="DBG31" s="28"/>
      <c r="DBI31" s="55"/>
      <c r="DBJ31" s="53"/>
      <c r="DBN31" s="28"/>
      <c r="DBP31" s="55"/>
      <c r="DBQ31" s="53"/>
      <c r="DBU31" s="28"/>
      <c r="DBW31" s="55"/>
      <c r="DBX31" s="53"/>
      <c r="DCB31" s="28"/>
      <c r="DCD31" s="55"/>
      <c r="DCE31" s="53"/>
      <c r="DCI31" s="28"/>
      <c r="DCK31" s="55"/>
      <c r="DCL31" s="53"/>
      <c r="DCP31" s="28"/>
      <c r="DCR31" s="55"/>
      <c r="DCS31" s="53"/>
      <c r="DCW31" s="28"/>
      <c r="DCY31" s="55"/>
      <c r="DCZ31" s="53"/>
      <c r="DDD31" s="28"/>
      <c r="DDF31" s="55"/>
      <c r="DDG31" s="53"/>
      <c r="DDK31" s="28"/>
      <c r="DDM31" s="55"/>
      <c r="DDN31" s="53"/>
      <c r="DDR31" s="28"/>
      <c r="DDT31" s="55"/>
      <c r="DDU31" s="53"/>
      <c r="DDY31" s="28"/>
      <c r="DEA31" s="55"/>
      <c r="DEB31" s="53"/>
      <c r="DEF31" s="28"/>
      <c r="DEH31" s="55"/>
      <c r="DEI31" s="53"/>
      <c r="DEM31" s="28"/>
      <c r="DEO31" s="55"/>
      <c r="DEP31" s="53"/>
      <c r="DET31" s="28"/>
      <c r="DEV31" s="55"/>
      <c r="DEW31" s="53"/>
      <c r="DFA31" s="28"/>
      <c r="DFC31" s="55"/>
      <c r="DFD31" s="53"/>
      <c r="DFH31" s="28"/>
      <c r="DFJ31" s="55"/>
      <c r="DFK31" s="53"/>
      <c r="DFO31" s="28"/>
      <c r="DFQ31" s="55"/>
      <c r="DFR31" s="53"/>
      <c r="DFV31" s="28"/>
      <c r="DFX31" s="55"/>
      <c r="DFY31" s="53"/>
      <c r="DGC31" s="28"/>
      <c r="DGE31" s="55"/>
      <c r="DGF31" s="53"/>
      <c r="DGJ31" s="28"/>
      <c r="DGL31" s="55"/>
      <c r="DGM31" s="53"/>
      <c r="DGQ31" s="28"/>
      <c r="DGS31" s="55"/>
      <c r="DGT31" s="53"/>
      <c r="DGX31" s="28"/>
      <c r="DGZ31" s="55"/>
      <c r="DHA31" s="53"/>
      <c r="DHE31" s="28"/>
      <c r="DHG31" s="55"/>
      <c r="DHH31" s="53"/>
      <c r="DHL31" s="28"/>
      <c r="DHN31" s="55"/>
      <c r="DHO31" s="53"/>
      <c r="DHS31" s="28"/>
      <c r="DHU31" s="55"/>
      <c r="DHV31" s="53"/>
      <c r="DHZ31" s="28"/>
      <c r="DIB31" s="55"/>
      <c r="DIC31" s="53"/>
      <c r="DIG31" s="28"/>
      <c r="DII31" s="55"/>
      <c r="DIJ31" s="53"/>
      <c r="DIN31" s="28"/>
      <c r="DIP31" s="55"/>
      <c r="DIQ31" s="53"/>
      <c r="DIU31" s="28"/>
      <c r="DIW31" s="55"/>
      <c r="DIX31" s="53"/>
      <c r="DJB31" s="28"/>
      <c r="DJD31" s="55"/>
      <c r="DJE31" s="53"/>
      <c r="DJI31" s="28"/>
      <c r="DJK31" s="55"/>
      <c r="DJL31" s="53"/>
      <c r="DJP31" s="28"/>
      <c r="DJR31" s="55"/>
      <c r="DJS31" s="53"/>
      <c r="DJW31" s="28"/>
      <c r="DJY31" s="55"/>
      <c r="DJZ31" s="53"/>
      <c r="DKD31" s="28"/>
      <c r="DKF31" s="55"/>
      <c r="DKG31" s="53"/>
      <c r="DKK31" s="28"/>
      <c r="DKM31" s="55"/>
      <c r="DKN31" s="53"/>
      <c r="DKR31" s="28"/>
      <c r="DKT31" s="55"/>
      <c r="DKU31" s="53"/>
      <c r="DKY31" s="28"/>
      <c r="DLA31" s="55"/>
      <c r="DLB31" s="53"/>
      <c r="DLF31" s="28"/>
      <c r="DLH31" s="55"/>
      <c r="DLI31" s="53"/>
      <c r="DLM31" s="28"/>
      <c r="DLO31" s="55"/>
      <c r="DLP31" s="53"/>
      <c r="DLT31" s="28"/>
      <c r="DLV31" s="55"/>
      <c r="DLW31" s="53"/>
      <c r="DMA31" s="28"/>
      <c r="DMC31" s="55"/>
      <c r="DMD31" s="53"/>
      <c r="DMH31" s="28"/>
      <c r="DMJ31" s="55"/>
      <c r="DMK31" s="53"/>
      <c r="DMO31" s="28"/>
      <c r="DMQ31" s="55"/>
      <c r="DMR31" s="53"/>
      <c r="DMV31" s="28"/>
      <c r="DMX31" s="55"/>
      <c r="DMY31" s="53"/>
      <c r="DNC31" s="28"/>
      <c r="DNE31" s="55"/>
      <c r="DNF31" s="53"/>
      <c r="DNJ31" s="28"/>
      <c r="DNL31" s="55"/>
      <c r="DNM31" s="53"/>
      <c r="DNQ31" s="28"/>
      <c r="DNS31" s="55"/>
      <c r="DNT31" s="53"/>
      <c r="DNX31" s="28"/>
      <c r="DNZ31" s="55"/>
      <c r="DOA31" s="53"/>
      <c r="DOE31" s="28"/>
      <c r="DOG31" s="55"/>
      <c r="DOH31" s="53"/>
      <c r="DOL31" s="28"/>
      <c r="DON31" s="55"/>
      <c r="DOO31" s="53"/>
      <c r="DOS31" s="28"/>
      <c r="DOU31" s="55"/>
      <c r="DOV31" s="53"/>
      <c r="DOZ31" s="28"/>
      <c r="DPB31" s="55"/>
      <c r="DPC31" s="53"/>
      <c r="DPG31" s="28"/>
      <c r="DPI31" s="55"/>
      <c r="DPJ31" s="53"/>
      <c r="DPN31" s="28"/>
      <c r="DPP31" s="55"/>
      <c r="DPQ31" s="53"/>
      <c r="DPU31" s="28"/>
      <c r="DPW31" s="55"/>
      <c r="DPX31" s="53"/>
      <c r="DQB31" s="28"/>
      <c r="DQD31" s="55"/>
      <c r="DQE31" s="53"/>
      <c r="DQI31" s="28"/>
      <c r="DQK31" s="55"/>
      <c r="DQL31" s="53"/>
      <c r="DQP31" s="28"/>
      <c r="DQR31" s="55"/>
      <c r="DQS31" s="53"/>
      <c r="DQW31" s="28"/>
      <c r="DQY31" s="55"/>
      <c r="DQZ31" s="53"/>
      <c r="DRD31" s="28"/>
      <c r="DRF31" s="55"/>
      <c r="DRG31" s="53"/>
      <c r="DRK31" s="28"/>
      <c r="DRM31" s="55"/>
      <c r="DRN31" s="53"/>
      <c r="DRR31" s="28"/>
      <c r="DRT31" s="55"/>
      <c r="DRU31" s="53"/>
      <c r="DRY31" s="28"/>
      <c r="DSA31" s="55"/>
      <c r="DSB31" s="53"/>
      <c r="DSF31" s="28"/>
      <c r="DSH31" s="55"/>
      <c r="DSI31" s="53"/>
      <c r="DSM31" s="28"/>
      <c r="DSO31" s="55"/>
      <c r="DSP31" s="53"/>
      <c r="DST31" s="28"/>
      <c r="DSV31" s="55"/>
      <c r="DSW31" s="53"/>
      <c r="DTA31" s="28"/>
      <c r="DTC31" s="55"/>
      <c r="DTD31" s="53"/>
      <c r="DTH31" s="28"/>
      <c r="DTJ31" s="55"/>
      <c r="DTK31" s="53"/>
      <c r="DTO31" s="28"/>
      <c r="DTQ31" s="55"/>
      <c r="DTR31" s="53"/>
      <c r="DTV31" s="28"/>
      <c r="DTX31" s="55"/>
      <c r="DTY31" s="53"/>
      <c r="DUC31" s="28"/>
      <c r="DUE31" s="55"/>
      <c r="DUF31" s="53"/>
      <c r="DUJ31" s="28"/>
      <c r="DUL31" s="55"/>
      <c r="DUM31" s="53"/>
      <c r="DUQ31" s="28"/>
      <c r="DUS31" s="55"/>
      <c r="DUT31" s="53"/>
      <c r="DUX31" s="28"/>
      <c r="DUZ31" s="55"/>
      <c r="DVA31" s="53"/>
      <c r="DVE31" s="28"/>
      <c r="DVG31" s="55"/>
      <c r="DVH31" s="53"/>
      <c r="DVL31" s="28"/>
      <c r="DVN31" s="55"/>
      <c r="DVO31" s="53"/>
      <c r="DVS31" s="28"/>
      <c r="DVU31" s="55"/>
      <c r="DVV31" s="53"/>
      <c r="DVZ31" s="28"/>
      <c r="DWB31" s="55"/>
      <c r="DWC31" s="53"/>
      <c r="DWG31" s="28"/>
      <c r="DWI31" s="55"/>
      <c r="DWJ31" s="53"/>
      <c r="DWN31" s="28"/>
      <c r="DWP31" s="55"/>
      <c r="DWQ31" s="53"/>
      <c r="DWU31" s="28"/>
      <c r="DWW31" s="55"/>
      <c r="DWX31" s="53"/>
      <c r="DXB31" s="28"/>
      <c r="DXD31" s="55"/>
      <c r="DXE31" s="53"/>
      <c r="DXI31" s="28"/>
      <c r="DXK31" s="55"/>
      <c r="DXL31" s="53"/>
      <c r="DXP31" s="28"/>
      <c r="DXR31" s="55"/>
      <c r="DXS31" s="53"/>
      <c r="DXW31" s="28"/>
      <c r="DXY31" s="55"/>
      <c r="DXZ31" s="53"/>
      <c r="DYD31" s="28"/>
      <c r="DYF31" s="55"/>
      <c r="DYG31" s="53"/>
      <c r="DYK31" s="28"/>
      <c r="DYM31" s="55"/>
      <c r="DYN31" s="53"/>
      <c r="DYR31" s="28"/>
      <c r="DYT31" s="55"/>
      <c r="DYU31" s="53"/>
      <c r="DYY31" s="28"/>
      <c r="DZA31" s="55"/>
      <c r="DZB31" s="53"/>
      <c r="DZF31" s="28"/>
      <c r="DZH31" s="55"/>
      <c r="DZI31" s="53"/>
      <c r="DZM31" s="28"/>
      <c r="DZO31" s="55"/>
      <c r="DZP31" s="53"/>
      <c r="DZT31" s="28"/>
      <c r="DZV31" s="55"/>
      <c r="DZW31" s="53"/>
      <c r="EAA31" s="28"/>
      <c r="EAC31" s="55"/>
      <c r="EAD31" s="53"/>
      <c r="EAH31" s="28"/>
      <c r="EAJ31" s="55"/>
      <c r="EAK31" s="53"/>
      <c r="EAO31" s="28"/>
      <c r="EAQ31" s="55"/>
      <c r="EAR31" s="53"/>
      <c r="EAV31" s="28"/>
      <c r="EAX31" s="55"/>
      <c r="EAY31" s="53"/>
      <c r="EBC31" s="28"/>
      <c r="EBE31" s="55"/>
      <c r="EBF31" s="53"/>
      <c r="EBJ31" s="28"/>
      <c r="EBL31" s="55"/>
      <c r="EBM31" s="53"/>
      <c r="EBQ31" s="28"/>
      <c r="EBS31" s="55"/>
      <c r="EBT31" s="53"/>
      <c r="EBX31" s="28"/>
      <c r="EBZ31" s="55"/>
      <c r="ECA31" s="53"/>
      <c r="ECE31" s="28"/>
      <c r="ECG31" s="55"/>
      <c r="ECH31" s="53"/>
      <c r="ECL31" s="28"/>
      <c r="ECN31" s="55"/>
      <c r="ECO31" s="53"/>
      <c r="ECS31" s="28"/>
      <c r="ECU31" s="55"/>
      <c r="ECV31" s="53"/>
      <c r="ECZ31" s="28"/>
      <c r="EDB31" s="55"/>
      <c r="EDC31" s="53"/>
      <c r="EDG31" s="28"/>
      <c r="EDI31" s="55"/>
      <c r="EDJ31" s="53"/>
      <c r="EDN31" s="28"/>
      <c r="EDP31" s="55"/>
      <c r="EDQ31" s="53"/>
      <c r="EDU31" s="28"/>
      <c r="EDW31" s="55"/>
      <c r="EDX31" s="53"/>
      <c r="EEB31" s="28"/>
      <c r="EED31" s="55"/>
      <c r="EEE31" s="53"/>
      <c r="EEI31" s="28"/>
      <c r="EEK31" s="55"/>
      <c r="EEL31" s="53"/>
      <c r="EEP31" s="28"/>
      <c r="EER31" s="55"/>
      <c r="EES31" s="53"/>
      <c r="EEW31" s="28"/>
      <c r="EEY31" s="55"/>
      <c r="EEZ31" s="53"/>
      <c r="EFD31" s="28"/>
      <c r="EFF31" s="55"/>
      <c r="EFG31" s="53"/>
      <c r="EFK31" s="28"/>
      <c r="EFM31" s="55"/>
      <c r="EFN31" s="53"/>
      <c r="EFR31" s="28"/>
      <c r="EFT31" s="55"/>
      <c r="EFU31" s="53"/>
      <c r="EFY31" s="28"/>
      <c r="EGA31" s="55"/>
      <c r="EGB31" s="53"/>
      <c r="EGF31" s="28"/>
      <c r="EGH31" s="55"/>
      <c r="EGI31" s="53"/>
      <c r="EGM31" s="28"/>
      <c r="EGO31" s="55"/>
      <c r="EGP31" s="53"/>
      <c r="EGT31" s="28"/>
      <c r="EGV31" s="55"/>
      <c r="EGW31" s="53"/>
      <c r="EHA31" s="28"/>
      <c r="EHC31" s="55"/>
      <c r="EHD31" s="53"/>
      <c r="EHH31" s="28"/>
      <c r="EHJ31" s="55"/>
      <c r="EHK31" s="53"/>
      <c r="EHO31" s="28"/>
      <c r="EHQ31" s="55"/>
      <c r="EHR31" s="53"/>
      <c r="EHV31" s="28"/>
      <c r="EHX31" s="55"/>
      <c r="EHY31" s="53"/>
      <c r="EIC31" s="28"/>
      <c r="EIE31" s="55"/>
      <c r="EIF31" s="53"/>
      <c r="EIJ31" s="28"/>
      <c r="EIL31" s="55"/>
      <c r="EIM31" s="53"/>
      <c r="EIQ31" s="28"/>
      <c r="EIS31" s="55"/>
      <c r="EIT31" s="53"/>
      <c r="EIX31" s="28"/>
      <c r="EIZ31" s="55"/>
      <c r="EJA31" s="53"/>
      <c r="EJE31" s="28"/>
      <c r="EJG31" s="55"/>
      <c r="EJH31" s="53"/>
      <c r="EJL31" s="28"/>
      <c r="EJN31" s="55"/>
      <c r="EJO31" s="53"/>
      <c r="EJS31" s="28"/>
      <c r="EJU31" s="55"/>
      <c r="EJV31" s="53"/>
      <c r="EJZ31" s="28"/>
      <c r="EKB31" s="55"/>
      <c r="EKC31" s="53"/>
      <c r="EKG31" s="28"/>
      <c r="EKI31" s="55"/>
      <c r="EKJ31" s="53"/>
      <c r="EKN31" s="28"/>
      <c r="EKP31" s="55"/>
      <c r="EKQ31" s="53"/>
      <c r="EKU31" s="28"/>
      <c r="EKW31" s="55"/>
      <c r="EKX31" s="53"/>
      <c r="ELB31" s="28"/>
      <c r="ELD31" s="55"/>
      <c r="ELE31" s="53"/>
      <c r="ELI31" s="28"/>
      <c r="ELK31" s="55"/>
      <c r="ELL31" s="53"/>
      <c r="ELP31" s="28"/>
      <c r="ELR31" s="55"/>
      <c r="ELS31" s="53"/>
      <c r="ELW31" s="28"/>
      <c r="ELY31" s="55"/>
      <c r="ELZ31" s="53"/>
      <c r="EMD31" s="28"/>
      <c r="EMF31" s="55"/>
      <c r="EMG31" s="53"/>
      <c r="EMK31" s="28"/>
      <c r="EMM31" s="55"/>
      <c r="EMN31" s="53"/>
      <c r="EMR31" s="28"/>
      <c r="EMT31" s="55"/>
      <c r="EMU31" s="53"/>
      <c r="EMY31" s="28"/>
      <c r="ENA31" s="55"/>
      <c r="ENB31" s="53"/>
      <c r="ENF31" s="28"/>
      <c r="ENH31" s="55"/>
      <c r="ENI31" s="53"/>
      <c r="ENM31" s="28"/>
      <c r="ENO31" s="55"/>
      <c r="ENP31" s="53"/>
      <c r="ENT31" s="28"/>
      <c r="ENV31" s="55"/>
      <c r="ENW31" s="53"/>
      <c r="EOA31" s="28"/>
      <c r="EOC31" s="55"/>
      <c r="EOD31" s="53"/>
      <c r="EOH31" s="28"/>
      <c r="EOJ31" s="55"/>
      <c r="EOK31" s="53"/>
      <c r="EOO31" s="28"/>
      <c r="EOQ31" s="55"/>
      <c r="EOR31" s="53"/>
      <c r="EOV31" s="28"/>
      <c r="EOX31" s="55"/>
      <c r="EOY31" s="53"/>
      <c r="EPC31" s="28"/>
      <c r="EPE31" s="55"/>
      <c r="EPF31" s="53"/>
      <c r="EPJ31" s="28"/>
      <c r="EPL31" s="55"/>
      <c r="EPM31" s="53"/>
      <c r="EPQ31" s="28"/>
      <c r="EPS31" s="55"/>
      <c r="EPT31" s="53"/>
      <c r="EPX31" s="28"/>
      <c r="EPZ31" s="55"/>
      <c r="EQA31" s="53"/>
      <c r="EQE31" s="28"/>
      <c r="EQG31" s="55"/>
      <c r="EQH31" s="53"/>
      <c r="EQL31" s="28"/>
      <c r="EQN31" s="55"/>
      <c r="EQO31" s="53"/>
      <c r="EQS31" s="28"/>
      <c r="EQU31" s="55"/>
      <c r="EQV31" s="53"/>
      <c r="EQZ31" s="28"/>
      <c r="ERB31" s="55"/>
      <c r="ERC31" s="53"/>
      <c r="ERG31" s="28"/>
      <c r="ERI31" s="55"/>
      <c r="ERJ31" s="53"/>
      <c r="ERN31" s="28"/>
      <c r="ERP31" s="55"/>
      <c r="ERQ31" s="53"/>
      <c r="ERU31" s="28"/>
      <c r="ERW31" s="55"/>
      <c r="ERX31" s="53"/>
      <c r="ESB31" s="28"/>
      <c r="ESD31" s="55"/>
      <c r="ESE31" s="53"/>
      <c r="ESI31" s="28"/>
      <c r="ESK31" s="55"/>
      <c r="ESL31" s="53"/>
      <c r="ESP31" s="28"/>
      <c r="ESR31" s="55"/>
      <c r="ESS31" s="53"/>
      <c r="ESW31" s="28"/>
      <c r="ESY31" s="55"/>
      <c r="ESZ31" s="53"/>
      <c r="ETD31" s="28"/>
      <c r="ETF31" s="55"/>
      <c r="ETG31" s="53"/>
      <c r="ETK31" s="28"/>
      <c r="ETM31" s="55"/>
      <c r="ETN31" s="53"/>
      <c r="ETR31" s="28"/>
      <c r="ETT31" s="55"/>
      <c r="ETU31" s="53"/>
      <c r="ETY31" s="28"/>
      <c r="EUA31" s="55"/>
      <c r="EUB31" s="53"/>
      <c r="EUF31" s="28"/>
      <c r="EUH31" s="55"/>
      <c r="EUI31" s="53"/>
      <c r="EUM31" s="28"/>
      <c r="EUO31" s="55"/>
      <c r="EUP31" s="53"/>
      <c r="EUT31" s="28"/>
      <c r="EUV31" s="55"/>
      <c r="EUW31" s="53"/>
      <c r="EVA31" s="28"/>
      <c r="EVC31" s="55"/>
      <c r="EVD31" s="53"/>
      <c r="EVH31" s="28"/>
      <c r="EVJ31" s="55"/>
      <c r="EVK31" s="53"/>
      <c r="EVO31" s="28"/>
      <c r="EVQ31" s="55"/>
      <c r="EVR31" s="53"/>
      <c r="EVV31" s="28"/>
      <c r="EVX31" s="55"/>
      <c r="EVY31" s="53"/>
      <c r="EWC31" s="28"/>
      <c r="EWE31" s="55"/>
      <c r="EWF31" s="53"/>
      <c r="EWJ31" s="28"/>
      <c r="EWL31" s="55"/>
      <c r="EWM31" s="53"/>
      <c r="EWQ31" s="28"/>
      <c r="EWS31" s="55"/>
      <c r="EWT31" s="53"/>
      <c r="EWX31" s="28"/>
      <c r="EWZ31" s="55"/>
      <c r="EXA31" s="53"/>
      <c r="EXE31" s="28"/>
      <c r="EXG31" s="55"/>
      <c r="EXH31" s="53"/>
      <c r="EXL31" s="28"/>
      <c r="EXN31" s="55"/>
      <c r="EXO31" s="53"/>
      <c r="EXS31" s="28"/>
      <c r="EXU31" s="55"/>
      <c r="EXV31" s="53"/>
      <c r="EXZ31" s="28"/>
      <c r="EYB31" s="55"/>
      <c r="EYC31" s="53"/>
      <c r="EYG31" s="28"/>
      <c r="EYI31" s="55"/>
      <c r="EYJ31" s="53"/>
      <c r="EYN31" s="28"/>
      <c r="EYP31" s="55"/>
      <c r="EYQ31" s="53"/>
      <c r="EYU31" s="28"/>
      <c r="EYW31" s="55"/>
      <c r="EYX31" s="53"/>
      <c r="EZB31" s="28"/>
      <c r="EZD31" s="55"/>
      <c r="EZE31" s="53"/>
      <c r="EZI31" s="28"/>
      <c r="EZK31" s="55"/>
      <c r="EZL31" s="53"/>
      <c r="EZP31" s="28"/>
      <c r="EZR31" s="55"/>
      <c r="EZS31" s="53"/>
      <c r="EZW31" s="28"/>
      <c r="EZY31" s="55"/>
      <c r="EZZ31" s="53"/>
      <c r="FAD31" s="28"/>
      <c r="FAF31" s="55"/>
      <c r="FAG31" s="53"/>
      <c r="FAK31" s="28"/>
      <c r="FAM31" s="55"/>
      <c r="FAN31" s="53"/>
      <c r="FAR31" s="28"/>
      <c r="FAT31" s="55"/>
      <c r="FAU31" s="53"/>
      <c r="FAY31" s="28"/>
      <c r="FBA31" s="55"/>
      <c r="FBB31" s="53"/>
      <c r="FBF31" s="28"/>
      <c r="FBH31" s="55"/>
      <c r="FBI31" s="53"/>
      <c r="FBM31" s="28"/>
      <c r="FBO31" s="55"/>
      <c r="FBP31" s="53"/>
      <c r="FBT31" s="28"/>
      <c r="FBV31" s="55"/>
      <c r="FBW31" s="53"/>
      <c r="FCA31" s="28"/>
      <c r="FCC31" s="55"/>
      <c r="FCD31" s="53"/>
      <c r="FCH31" s="28"/>
      <c r="FCJ31" s="55"/>
      <c r="FCK31" s="53"/>
      <c r="FCO31" s="28"/>
      <c r="FCQ31" s="55"/>
      <c r="FCR31" s="53"/>
      <c r="FCV31" s="28"/>
      <c r="FCX31" s="55"/>
      <c r="FCY31" s="53"/>
      <c r="FDC31" s="28"/>
      <c r="FDE31" s="55"/>
      <c r="FDF31" s="53"/>
      <c r="FDJ31" s="28"/>
      <c r="FDL31" s="55"/>
      <c r="FDM31" s="53"/>
      <c r="FDQ31" s="28"/>
      <c r="FDS31" s="55"/>
      <c r="FDT31" s="53"/>
      <c r="FDX31" s="28"/>
      <c r="FDZ31" s="55"/>
      <c r="FEA31" s="53"/>
      <c r="FEE31" s="28"/>
      <c r="FEG31" s="55"/>
      <c r="FEH31" s="53"/>
      <c r="FEL31" s="28"/>
      <c r="FEN31" s="55"/>
      <c r="FEO31" s="53"/>
      <c r="FES31" s="28"/>
      <c r="FEU31" s="55"/>
      <c r="FEV31" s="53"/>
      <c r="FEZ31" s="28"/>
      <c r="FFB31" s="55"/>
      <c r="FFC31" s="53"/>
      <c r="FFG31" s="28"/>
      <c r="FFI31" s="55"/>
      <c r="FFJ31" s="53"/>
      <c r="FFN31" s="28"/>
      <c r="FFP31" s="55"/>
      <c r="FFQ31" s="53"/>
      <c r="FFU31" s="28"/>
      <c r="FFW31" s="55"/>
      <c r="FFX31" s="53"/>
      <c r="FGB31" s="28"/>
      <c r="FGD31" s="55"/>
      <c r="FGE31" s="53"/>
      <c r="FGI31" s="28"/>
      <c r="FGK31" s="55"/>
      <c r="FGL31" s="53"/>
      <c r="FGP31" s="28"/>
      <c r="FGR31" s="55"/>
      <c r="FGS31" s="53"/>
      <c r="FGW31" s="28"/>
      <c r="FGY31" s="55"/>
      <c r="FGZ31" s="53"/>
      <c r="FHD31" s="28"/>
      <c r="FHF31" s="55"/>
      <c r="FHG31" s="53"/>
      <c r="FHK31" s="28"/>
      <c r="FHM31" s="55"/>
      <c r="FHN31" s="53"/>
      <c r="FHR31" s="28"/>
      <c r="FHT31" s="55"/>
      <c r="FHU31" s="53"/>
      <c r="FHY31" s="28"/>
      <c r="FIA31" s="55"/>
      <c r="FIB31" s="53"/>
      <c r="FIF31" s="28"/>
      <c r="FIH31" s="55"/>
      <c r="FII31" s="53"/>
      <c r="FIM31" s="28"/>
      <c r="FIO31" s="55"/>
      <c r="FIP31" s="53"/>
      <c r="FIT31" s="28"/>
      <c r="FIV31" s="55"/>
      <c r="FIW31" s="53"/>
      <c r="FJA31" s="28"/>
      <c r="FJC31" s="55"/>
      <c r="FJD31" s="53"/>
      <c r="FJH31" s="28"/>
      <c r="FJJ31" s="55"/>
      <c r="FJK31" s="53"/>
      <c r="FJO31" s="28"/>
      <c r="FJQ31" s="55"/>
      <c r="FJR31" s="53"/>
      <c r="FJV31" s="28"/>
      <c r="FJX31" s="55"/>
      <c r="FJY31" s="53"/>
      <c r="FKC31" s="28"/>
      <c r="FKE31" s="55"/>
      <c r="FKF31" s="53"/>
      <c r="FKJ31" s="28"/>
      <c r="FKL31" s="55"/>
      <c r="FKM31" s="53"/>
      <c r="FKQ31" s="28"/>
      <c r="FKS31" s="55"/>
      <c r="FKT31" s="53"/>
      <c r="FKX31" s="28"/>
      <c r="FKZ31" s="55"/>
      <c r="FLA31" s="53"/>
      <c r="FLE31" s="28"/>
      <c r="FLG31" s="55"/>
      <c r="FLH31" s="53"/>
      <c r="FLL31" s="28"/>
      <c r="FLN31" s="55"/>
      <c r="FLO31" s="53"/>
      <c r="FLS31" s="28"/>
      <c r="FLU31" s="55"/>
      <c r="FLV31" s="53"/>
      <c r="FLZ31" s="28"/>
      <c r="FMB31" s="55"/>
      <c r="FMC31" s="53"/>
      <c r="FMG31" s="28"/>
      <c r="FMI31" s="55"/>
      <c r="FMJ31" s="53"/>
      <c r="FMN31" s="28"/>
      <c r="FMP31" s="55"/>
      <c r="FMQ31" s="53"/>
      <c r="FMU31" s="28"/>
      <c r="FMW31" s="55"/>
      <c r="FMX31" s="53"/>
      <c r="FNB31" s="28"/>
      <c r="FND31" s="55"/>
      <c r="FNE31" s="53"/>
      <c r="FNI31" s="28"/>
      <c r="FNK31" s="55"/>
      <c r="FNL31" s="53"/>
      <c r="FNP31" s="28"/>
      <c r="FNR31" s="55"/>
      <c r="FNS31" s="53"/>
      <c r="FNW31" s="28"/>
      <c r="FNY31" s="55"/>
      <c r="FNZ31" s="53"/>
      <c r="FOD31" s="28"/>
      <c r="FOF31" s="55"/>
      <c r="FOG31" s="53"/>
      <c r="FOK31" s="28"/>
      <c r="FOM31" s="55"/>
      <c r="FON31" s="53"/>
      <c r="FOR31" s="28"/>
      <c r="FOT31" s="55"/>
      <c r="FOU31" s="53"/>
      <c r="FOY31" s="28"/>
      <c r="FPA31" s="55"/>
      <c r="FPB31" s="53"/>
      <c r="FPF31" s="28"/>
      <c r="FPH31" s="55"/>
      <c r="FPI31" s="53"/>
      <c r="FPM31" s="28"/>
      <c r="FPO31" s="55"/>
      <c r="FPP31" s="53"/>
      <c r="FPT31" s="28"/>
      <c r="FPV31" s="55"/>
      <c r="FPW31" s="53"/>
      <c r="FQA31" s="28"/>
      <c r="FQC31" s="55"/>
      <c r="FQD31" s="53"/>
      <c r="FQH31" s="28"/>
      <c r="FQJ31" s="55"/>
      <c r="FQK31" s="53"/>
      <c r="FQO31" s="28"/>
      <c r="FQQ31" s="55"/>
      <c r="FQR31" s="53"/>
      <c r="FQV31" s="28"/>
      <c r="FQX31" s="55"/>
      <c r="FQY31" s="53"/>
      <c r="FRC31" s="28"/>
      <c r="FRE31" s="55"/>
      <c r="FRF31" s="53"/>
      <c r="FRJ31" s="28"/>
      <c r="FRL31" s="55"/>
      <c r="FRM31" s="53"/>
      <c r="FRQ31" s="28"/>
      <c r="FRS31" s="55"/>
      <c r="FRT31" s="53"/>
      <c r="FRX31" s="28"/>
      <c r="FRZ31" s="55"/>
      <c r="FSA31" s="53"/>
      <c r="FSE31" s="28"/>
      <c r="FSG31" s="55"/>
      <c r="FSH31" s="53"/>
      <c r="FSL31" s="28"/>
      <c r="FSN31" s="55"/>
      <c r="FSO31" s="53"/>
      <c r="FSS31" s="28"/>
      <c r="FSU31" s="55"/>
      <c r="FSV31" s="53"/>
      <c r="FSZ31" s="28"/>
      <c r="FTB31" s="55"/>
      <c r="FTC31" s="53"/>
      <c r="FTG31" s="28"/>
      <c r="FTI31" s="55"/>
      <c r="FTJ31" s="53"/>
      <c r="FTN31" s="28"/>
      <c r="FTP31" s="55"/>
      <c r="FTQ31" s="53"/>
      <c r="FTU31" s="28"/>
      <c r="FTW31" s="55"/>
      <c r="FTX31" s="53"/>
      <c r="FUB31" s="28"/>
      <c r="FUD31" s="55"/>
      <c r="FUE31" s="53"/>
      <c r="FUI31" s="28"/>
      <c r="FUK31" s="55"/>
      <c r="FUL31" s="53"/>
      <c r="FUP31" s="28"/>
      <c r="FUR31" s="55"/>
      <c r="FUS31" s="53"/>
      <c r="FUW31" s="28"/>
      <c r="FUY31" s="55"/>
      <c r="FUZ31" s="53"/>
      <c r="FVD31" s="28"/>
      <c r="FVF31" s="55"/>
      <c r="FVG31" s="53"/>
      <c r="FVK31" s="28"/>
      <c r="FVM31" s="55"/>
      <c r="FVN31" s="53"/>
      <c r="FVR31" s="28"/>
      <c r="FVT31" s="55"/>
      <c r="FVU31" s="53"/>
      <c r="FVY31" s="28"/>
      <c r="FWA31" s="55"/>
      <c r="FWB31" s="53"/>
      <c r="FWF31" s="28"/>
      <c r="FWH31" s="55"/>
      <c r="FWI31" s="53"/>
      <c r="FWM31" s="28"/>
      <c r="FWO31" s="55"/>
      <c r="FWP31" s="53"/>
      <c r="FWT31" s="28"/>
      <c r="FWV31" s="55"/>
      <c r="FWW31" s="53"/>
      <c r="FXA31" s="28"/>
      <c r="FXC31" s="55"/>
      <c r="FXD31" s="53"/>
      <c r="FXH31" s="28"/>
      <c r="FXJ31" s="55"/>
      <c r="FXK31" s="53"/>
      <c r="FXO31" s="28"/>
      <c r="FXQ31" s="55"/>
      <c r="FXR31" s="53"/>
      <c r="FXV31" s="28"/>
      <c r="FXX31" s="55"/>
      <c r="FXY31" s="53"/>
      <c r="FYC31" s="28"/>
      <c r="FYE31" s="55"/>
      <c r="FYF31" s="53"/>
      <c r="FYJ31" s="28"/>
      <c r="FYL31" s="55"/>
      <c r="FYM31" s="53"/>
      <c r="FYQ31" s="28"/>
      <c r="FYS31" s="55"/>
      <c r="FYT31" s="53"/>
      <c r="FYX31" s="28"/>
      <c r="FYZ31" s="55"/>
      <c r="FZA31" s="53"/>
      <c r="FZE31" s="28"/>
      <c r="FZG31" s="55"/>
      <c r="FZH31" s="53"/>
      <c r="FZL31" s="28"/>
      <c r="FZN31" s="55"/>
      <c r="FZO31" s="53"/>
      <c r="FZS31" s="28"/>
      <c r="FZU31" s="55"/>
      <c r="FZV31" s="53"/>
      <c r="FZZ31" s="28"/>
      <c r="GAB31" s="55"/>
      <c r="GAC31" s="53"/>
      <c r="GAG31" s="28"/>
      <c r="GAI31" s="55"/>
      <c r="GAJ31" s="53"/>
      <c r="GAN31" s="28"/>
      <c r="GAP31" s="55"/>
      <c r="GAQ31" s="53"/>
      <c r="GAU31" s="28"/>
      <c r="GAW31" s="55"/>
      <c r="GAX31" s="53"/>
      <c r="GBB31" s="28"/>
      <c r="GBD31" s="55"/>
      <c r="GBE31" s="53"/>
      <c r="GBI31" s="28"/>
      <c r="GBK31" s="55"/>
      <c r="GBL31" s="53"/>
      <c r="GBP31" s="28"/>
      <c r="GBR31" s="55"/>
      <c r="GBS31" s="53"/>
      <c r="GBW31" s="28"/>
      <c r="GBY31" s="55"/>
      <c r="GBZ31" s="53"/>
      <c r="GCD31" s="28"/>
      <c r="GCF31" s="55"/>
      <c r="GCG31" s="53"/>
      <c r="GCK31" s="28"/>
      <c r="GCM31" s="55"/>
      <c r="GCN31" s="53"/>
      <c r="GCR31" s="28"/>
      <c r="GCT31" s="55"/>
      <c r="GCU31" s="53"/>
      <c r="GCY31" s="28"/>
      <c r="GDA31" s="55"/>
      <c r="GDB31" s="53"/>
      <c r="GDF31" s="28"/>
      <c r="GDH31" s="55"/>
      <c r="GDI31" s="53"/>
      <c r="GDM31" s="28"/>
      <c r="GDO31" s="55"/>
      <c r="GDP31" s="53"/>
      <c r="GDT31" s="28"/>
      <c r="GDV31" s="55"/>
      <c r="GDW31" s="53"/>
      <c r="GEA31" s="28"/>
      <c r="GEC31" s="55"/>
      <c r="GED31" s="53"/>
      <c r="GEH31" s="28"/>
      <c r="GEJ31" s="55"/>
      <c r="GEK31" s="53"/>
      <c r="GEO31" s="28"/>
      <c r="GEQ31" s="55"/>
      <c r="GER31" s="53"/>
      <c r="GEV31" s="28"/>
      <c r="GEX31" s="55"/>
      <c r="GEY31" s="53"/>
      <c r="GFC31" s="28"/>
      <c r="GFE31" s="55"/>
      <c r="GFF31" s="53"/>
      <c r="GFJ31" s="28"/>
      <c r="GFL31" s="55"/>
      <c r="GFM31" s="53"/>
      <c r="GFQ31" s="28"/>
      <c r="GFS31" s="55"/>
      <c r="GFT31" s="53"/>
      <c r="GFX31" s="28"/>
      <c r="GFZ31" s="55"/>
      <c r="GGA31" s="53"/>
      <c r="GGE31" s="28"/>
      <c r="GGG31" s="55"/>
      <c r="GGH31" s="53"/>
      <c r="GGL31" s="28"/>
      <c r="GGN31" s="55"/>
      <c r="GGO31" s="53"/>
      <c r="GGS31" s="28"/>
      <c r="GGU31" s="55"/>
      <c r="GGV31" s="53"/>
      <c r="GGZ31" s="28"/>
      <c r="GHB31" s="55"/>
      <c r="GHC31" s="53"/>
      <c r="GHG31" s="28"/>
      <c r="GHI31" s="55"/>
      <c r="GHJ31" s="53"/>
      <c r="GHN31" s="28"/>
      <c r="GHP31" s="55"/>
      <c r="GHQ31" s="53"/>
      <c r="GHU31" s="28"/>
      <c r="GHW31" s="55"/>
      <c r="GHX31" s="53"/>
      <c r="GIB31" s="28"/>
      <c r="GID31" s="55"/>
      <c r="GIE31" s="53"/>
      <c r="GII31" s="28"/>
      <c r="GIK31" s="55"/>
      <c r="GIL31" s="53"/>
      <c r="GIP31" s="28"/>
      <c r="GIR31" s="55"/>
      <c r="GIS31" s="53"/>
      <c r="GIW31" s="28"/>
      <c r="GIY31" s="55"/>
      <c r="GIZ31" s="53"/>
      <c r="GJD31" s="28"/>
      <c r="GJF31" s="55"/>
      <c r="GJG31" s="53"/>
      <c r="GJK31" s="28"/>
      <c r="GJM31" s="55"/>
      <c r="GJN31" s="53"/>
      <c r="GJR31" s="28"/>
      <c r="GJT31" s="55"/>
      <c r="GJU31" s="53"/>
      <c r="GJY31" s="28"/>
      <c r="GKA31" s="55"/>
      <c r="GKB31" s="53"/>
      <c r="GKF31" s="28"/>
      <c r="GKH31" s="55"/>
      <c r="GKI31" s="53"/>
      <c r="GKM31" s="28"/>
      <c r="GKO31" s="55"/>
      <c r="GKP31" s="53"/>
      <c r="GKT31" s="28"/>
      <c r="GKV31" s="55"/>
      <c r="GKW31" s="53"/>
      <c r="GLA31" s="28"/>
      <c r="GLC31" s="55"/>
      <c r="GLD31" s="53"/>
      <c r="GLH31" s="28"/>
      <c r="GLJ31" s="55"/>
      <c r="GLK31" s="53"/>
      <c r="GLO31" s="28"/>
      <c r="GLQ31" s="55"/>
      <c r="GLR31" s="53"/>
      <c r="GLV31" s="28"/>
      <c r="GLX31" s="55"/>
      <c r="GLY31" s="53"/>
      <c r="GMC31" s="28"/>
      <c r="GME31" s="55"/>
      <c r="GMF31" s="53"/>
      <c r="GMJ31" s="28"/>
      <c r="GML31" s="55"/>
      <c r="GMM31" s="53"/>
      <c r="GMQ31" s="28"/>
      <c r="GMS31" s="55"/>
      <c r="GMT31" s="53"/>
      <c r="GMX31" s="28"/>
      <c r="GMZ31" s="55"/>
      <c r="GNA31" s="53"/>
      <c r="GNE31" s="28"/>
      <c r="GNG31" s="55"/>
      <c r="GNH31" s="53"/>
      <c r="GNL31" s="28"/>
      <c r="GNN31" s="55"/>
      <c r="GNO31" s="53"/>
      <c r="GNS31" s="28"/>
      <c r="GNU31" s="55"/>
      <c r="GNV31" s="53"/>
      <c r="GNZ31" s="28"/>
      <c r="GOB31" s="55"/>
      <c r="GOC31" s="53"/>
      <c r="GOG31" s="28"/>
      <c r="GOI31" s="55"/>
      <c r="GOJ31" s="53"/>
      <c r="GON31" s="28"/>
      <c r="GOP31" s="55"/>
      <c r="GOQ31" s="53"/>
      <c r="GOU31" s="28"/>
      <c r="GOW31" s="55"/>
      <c r="GOX31" s="53"/>
      <c r="GPB31" s="28"/>
      <c r="GPD31" s="55"/>
      <c r="GPE31" s="53"/>
      <c r="GPI31" s="28"/>
      <c r="GPK31" s="55"/>
      <c r="GPL31" s="53"/>
      <c r="GPP31" s="28"/>
      <c r="GPR31" s="55"/>
      <c r="GPS31" s="53"/>
      <c r="GPW31" s="28"/>
      <c r="GPY31" s="55"/>
      <c r="GPZ31" s="53"/>
      <c r="GQD31" s="28"/>
      <c r="GQF31" s="55"/>
      <c r="GQG31" s="53"/>
      <c r="GQK31" s="28"/>
      <c r="GQM31" s="55"/>
      <c r="GQN31" s="53"/>
      <c r="GQR31" s="28"/>
      <c r="GQT31" s="55"/>
      <c r="GQU31" s="53"/>
      <c r="GQY31" s="28"/>
      <c r="GRA31" s="55"/>
      <c r="GRB31" s="53"/>
      <c r="GRF31" s="28"/>
      <c r="GRH31" s="55"/>
      <c r="GRI31" s="53"/>
      <c r="GRM31" s="28"/>
      <c r="GRO31" s="55"/>
      <c r="GRP31" s="53"/>
      <c r="GRT31" s="28"/>
      <c r="GRV31" s="55"/>
      <c r="GRW31" s="53"/>
      <c r="GSA31" s="28"/>
      <c r="GSC31" s="55"/>
      <c r="GSD31" s="53"/>
      <c r="GSH31" s="28"/>
      <c r="GSJ31" s="55"/>
      <c r="GSK31" s="53"/>
      <c r="GSO31" s="28"/>
      <c r="GSQ31" s="55"/>
      <c r="GSR31" s="53"/>
      <c r="GSV31" s="28"/>
      <c r="GSX31" s="55"/>
      <c r="GSY31" s="53"/>
      <c r="GTC31" s="28"/>
      <c r="GTE31" s="55"/>
      <c r="GTF31" s="53"/>
      <c r="GTJ31" s="28"/>
      <c r="GTL31" s="55"/>
      <c r="GTM31" s="53"/>
      <c r="GTQ31" s="28"/>
      <c r="GTS31" s="55"/>
      <c r="GTT31" s="53"/>
      <c r="GTX31" s="28"/>
      <c r="GTZ31" s="55"/>
      <c r="GUA31" s="53"/>
      <c r="GUE31" s="28"/>
      <c r="GUG31" s="55"/>
      <c r="GUH31" s="53"/>
      <c r="GUL31" s="28"/>
      <c r="GUN31" s="55"/>
      <c r="GUO31" s="53"/>
      <c r="GUS31" s="28"/>
      <c r="GUU31" s="55"/>
      <c r="GUV31" s="53"/>
      <c r="GUZ31" s="28"/>
      <c r="GVB31" s="55"/>
      <c r="GVC31" s="53"/>
      <c r="GVG31" s="28"/>
      <c r="GVI31" s="55"/>
      <c r="GVJ31" s="53"/>
      <c r="GVN31" s="28"/>
      <c r="GVP31" s="55"/>
      <c r="GVQ31" s="53"/>
      <c r="GVU31" s="28"/>
      <c r="GVW31" s="55"/>
      <c r="GVX31" s="53"/>
      <c r="GWB31" s="28"/>
      <c r="GWD31" s="55"/>
      <c r="GWE31" s="53"/>
      <c r="GWI31" s="28"/>
      <c r="GWK31" s="55"/>
      <c r="GWL31" s="53"/>
      <c r="GWP31" s="28"/>
      <c r="GWR31" s="55"/>
      <c r="GWS31" s="53"/>
      <c r="GWW31" s="28"/>
      <c r="GWY31" s="55"/>
      <c r="GWZ31" s="53"/>
      <c r="GXD31" s="28"/>
      <c r="GXF31" s="55"/>
      <c r="GXG31" s="53"/>
      <c r="GXK31" s="28"/>
      <c r="GXM31" s="55"/>
      <c r="GXN31" s="53"/>
      <c r="GXR31" s="28"/>
      <c r="GXT31" s="55"/>
      <c r="GXU31" s="53"/>
      <c r="GXY31" s="28"/>
      <c r="GYA31" s="55"/>
      <c r="GYB31" s="53"/>
      <c r="GYF31" s="28"/>
      <c r="GYH31" s="55"/>
      <c r="GYI31" s="53"/>
      <c r="GYM31" s="28"/>
      <c r="GYO31" s="55"/>
      <c r="GYP31" s="53"/>
      <c r="GYT31" s="28"/>
      <c r="GYV31" s="55"/>
      <c r="GYW31" s="53"/>
      <c r="GZA31" s="28"/>
      <c r="GZC31" s="55"/>
      <c r="GZD31" s="53"/>
      <c r="GZH31" s="28"/>
      <c r="GZJ31" s="55"/>
      <c r="GZK31" s="53"/>
      <c r="GZO31" s="28"/>
      <c r="GZQ31" s="55"/>
      <c r="GZR31" s="53"/>
      <c r="GZV31" s="28"/>
      <c r="GZX31" s="55"/>
      <c r="GZY31" s="53"/>
      <c r="HAC31" s="28"/>
      <c r="HAE31" s="55"/>
      <c r="HAF31" s="53"/>
      <c r="HAJ31" s="28"/>
      <c r="HAL31" s="55"/>
      <c r="HAM31" s="53"/>
      <c r="HAQ31" s="28"/>
      <c r="HAS31" s="55"/>
      <c r="HAT31" s="53"/>
      <c r="HAX31" s="28"/>
      <c r="HAZ31" s="55"/>
      <c r="HBA31" s="53"/>
      <c r="HBE31" s="28"/>
      <c r="HBG31" s="55"/>
      <c r="HBH31" s="53"/>
      <c r="HBL31" s="28"/>
      <c r="HBN31" s="55"/>
      <c r="HBO31" s="53"/>
      <c r="HBS31" s="28"/>
      <c r="HBU31" s="55"/>
      <c r="HBV31" s="53"/>
      <c r="HBZ31" s="28"/>
      <c r="HCB31" s="55"/>
      <c r="HCC31" s="53"/>
      <c r="HCG31" s="28"/>
      <c r="HCI31" s="55"/>
      <c r="HCJ31" s="53"/>
      <c r="HCN31" s="28"/>
      <c r="HCP31" s="55"/>
      <c r="HCQ31" s="53"/>
      <c r="HCU31" s="28"/>
      <c r="HCW31" s="55"/>
      <c r="HCX31" s="53"/>
      <c r="HDB31" s="28"/>
      <c r="HDD31" s="55"/>
      <c r="HDE31" s="53"/>
      <c r="HDI31" s="28"/>
      <c r="HDK31" s="55"/>
      <c r="HDL31" s="53"/>
      <c r="HDP31" s="28"/>
      <c r="HDR31" s="55"/>
      <c r="HDS31" s="53"/>
      <c r="HDW31" s="28"/>
      <c r="HDY31" s="55"/>
      <c r="HDZ31" s="53"/>
      <c r="HED31" s="28"/>
      <c r="HEF31" s="55"/>
      <c r="HEG31" s="53"/>
      <c r="HEK31" s="28"/>
      <c r="HEM31" s="55"/>
      <c r="HEN31" s="53"/>
      <c r="HER31" s="28"/>
      <c r="HET31" s="55"/>
      <c r="HEU31" s="53"/>
      <c r="HEY31" s="28"/>
      <c r="HFA31" s="55"/>
      <c r="HFB31" s="53"/>
      <c r="HFF31" s="28"/>
      <c r="HFH31" s="55"/>
      <c r="HFI31" s="53"/>
      <c r="HFM31" s="28"/>
      <c r="HFO31" s="55"/>
      <c r="HFP31" s="53"/>
      <c r="HFT31" s="28"/>
      <c r="HFV31" s="55"/>
      <c r="HFW31" s="53"/>
      <c r="HGA31" s="28"/>
      <c r="HGC31" s="55"/>
      <c r="HGD31" s="53"/>
      <c r="HGH31" s="28"/>
      <c r="HGJ31" s="55"/>
      <c r="HGK31" s="53"/>
      <c r="HGO31" s="28"/>
      <c r="HGQ31" s="55"/>
      <c r="HGR31" s="53"/>
      <c r="HGV31" s="28"/>
      <c r="HGX31" s="55"/>
      <c r="HGY31" s="53"/>
      <c r="HHC31" s="28"/>
      <c r="HHE31" s="55"/>
      <c r="HHF31" s="53"/>
      <c r="HHJ31" s="28"/>
      <c r="HHL31" s="55"/>
      <c r="HHM31" s="53"/>
      <c r="HHQ31" s="28"/>
      <c r="HHS31" s="55"/>
      <c r="HHT31" s="53"/>
      <c r="HHX31" s="28"/>
      <c r="HHZ31" s="55"/>
      <c r="HIA31" s="53"/>
      <c r="HIE31" s="28"/>
      <c r="HIG31" s="55"/>
      <c r="HIH31" s="53"/>
      <c r="HIL31" s="28"/>
      <c r="HIN31" s="55"/>
      <c r="HIO31" s="53"/>
      <c r="HIS31" s="28"/>
      <c r="HIU31" s="55"/>
      <c r="HIV31" s="53"/>
      <c r="HIZ31" s="28"/>
      <c r="HJB31" s="55"/>
      <c r="HJC31" s="53"/>
      <c r="HJG31" s="28"/>
      <c r="HJI31" s="55"/>
      <c r="HJJ31" s="53"/>
      <c r="HJN31" s="28"/>
      <c r="HJP31" s="55"/>
      <c r="HJQ31" s="53"/>
      <c r="HJU31" s="28"/>
      <c r="HJW31" s="55"/>
      <c r="HJX31" s="53"/>
      <c r="HKB31" s="28"/>
      <c r="HKD31" s="55"/>
      <c r="HKE31" s="53"/>
      <c r="HKI31" s="28"/>
      <c r="HKK31" s="55"/>
      <c r="HKL31" s="53"/>
      <c r="HKP31" s="28"/>
      <c r="HKR31" s="55"/>
      <c r="HKS31" s="53"/>
      <c r="HKW31" s="28"/>
      <c r="HKY31" s="55"/>
      <c r="HKZ31" s="53"/>
      <c r="HLD31" s="28"/>
      <c r="HLF31" s="55"/>
      <c r="HLG31" s="53"/>
      <c r="HLK31" s="28"/>
      <c r="HLM31" s="55"/>
      <c r="HLN31" s="53"/>
      <c r="HLR31" s="28"/>
      <c r="HLT31" s="55"/>
      <c r="HLU31" s="53"/>
      <c r="HLY31" s="28"/>
      <c r="HMA31" s="55"/>
      <c r="HMB31" s="53"/>
      <c r="HMF31" s="28"/>
      <c r="HMH31" s="55"/>
      <c r="HMI31" s="53"/>
      <c r="HMM31" s="28"/>
      <c r="HMO31" s="55"/>
      <c r="HMP31" s="53"/>
      <c r="HMT31" s="28"/>
      <c r="HMV31" s="55"/>
      <c r="HMW31" s="53"/>
      <c r="HNA31" s="28"/>
      <c r="HNC31" s="55"/>
      <c r="HND31" s="53"/>
      <c r="HNH31" s="28"/>
      <c r="HNJ31" s="55"/>
      <c r="HNK31" s="53"/>
      <c r="HNO31" s="28"/>
      <c r="HNQ31" s="55"/>
      <c r="HNR31" s="53"/>
      <c r="HNV31" s="28"/>
      <c r="HNX31" s="55"/>
      <c r="HNY31" s="53"/>
      <c r="HOC31" s="28"/>
      <c r="HOE31" s="55"/>
      <c r="HOF31" s="53"/>
      <c r="HOJ31" s="28"/>
      <c r="HOL31" s="55"/>
      <c r="HOM31" s="53"/>
      <c r="HOQ31" s="28"/>
      <c r="HOS31" s="55"/>
      <c r="HOT31" s="53"/>
      <c r="HOX31" s="28"/>
      <c r="HOZ31" s="55"/>
      <c r="HPA31" s="53"/>
      <c r="HPE31" s="28"/>
      <c r="HPG31" s="55"/>
      <c r="HPH31" s="53"/>
      <c r="HPL31" s="28"/>
      <c r="HPN31" s="55"/>
      <c r="HPO31" s="53"/>
      <c r="HPS31" s="28"/>
      <c r="HPU31" s="55"/>
      <c r="HPV31" s="53"/>
      <c r="HPZ31" s="28"/>
      <c r="HQB31" s="55"/>
      <c r="HQC31" s="53"/>
      <c r="HQG31" s="28"/>
      <c r="HQI31" s="55"/>
      <c r="HQJ31" s="53"/>
      <c r="HQN31" s="28"/>
      <c r="HQP31" s="55"/>
      <c r="HQQ31" s="53"/>
      <c r="HQU31" s="28"/>
      <c r="HQW31" s="55"/>
      <c r="HQX31" s="53"/>
      <c r="HRB31" s="28"/>
      <c r="HRD31" s="55"/>
      <c r="HRE31" s="53"/>
      <c r="HRI31" s="28"/>
      <c r="HRK31" s="55"/>
      <c r="HRL31" s="53"/>
      <c r="HRP31" s="28"/>
      <c r="HRR31" s="55"/>
      <c r="HRS31" s="53"/>
      <c r="HRW31" s="28"/>
      <c r="HRY31" s="55"/>
      <c r="HRZ31" s="53"/>
      <c r="HSD31" s="28"/>
      <c r="HSF31" s="55"/>
      <c r="HSG31" s="53"/>
      <c r="HSK31" s="28"/>
      <c r="HSM31" s="55"/>
      <c r="HSN31" s="53"/>
      <c r="HSR31" s="28"/>
      <c r="HST31" s="55"/>
      <c r="HSU31" s="53"/>
      <c r="HSY31" s="28"/>
      <c r="HTA31" s="55"/>
      <c r="HTB31" s="53"/>
      <c r="HTF31" s="28"/>
      <c r="HTH31" s="55"/>
      <c r="HTI31" s="53"/>
      <c r="HTM31" s="28"/>
      <c r="HTO31" s="55"/>
      <c r="HTP31" s="53"/>
      <c r="HTT31" s="28"/>
      <c r="HTV31" s="55"/>
      <c r="HTW31" s="53"/>
      <c r="HUA31" s="28"/>
      <c r="HUC31" s="55"/>
      <c r="HUD31" s="53"/>
      <c r="HUH31" s="28"/>
      <c r="HUJ31" s="55"/>
      <c r="HUK31" s="53"/>
      <c r="HUO31" s="28"/>
      <c r="HUQ31" s="55"/>
      <c r="HUR31" s="53"/>
      <c r="HUV31" s="28"/>
      <c r="HUX31" s="55"/>
      <c r="HUY31" s="53"/>
      <c r="HVC31" s="28"/>
      <c r="HVE31" s="55"/>
      <c r="HVF31" s="53"/>
      <c r="HVJ31" s="28"/>
      <c r="HVL31" s="55"/>
      <c r="HVM31" s="53"/>
      <c r="HVQ31" s="28"/>
      <c r="HVS31" s="55"/>
      <c r="HVT31" s="53"/>
      <c r="HVX31" s="28"/>
      <c r="HVZ31" s="55"/>
      <c r="HWA31" s="53"/>
      <c r="HWE31" s="28"/>
      <c r="HWG31" s="55"/>
      <c r="HWH31" s="53"/>
      <c r="HWL31" s="28"/>
      <c r="HWN31" s="55"/>
      <c r="HWO31" s="53"/>
      <c r="HWS31" s="28"/>
      <c r="HWU31" s="55"/>
      <c r="HWV31" s="53"/>
      <c r="HWZ31" s="28"/>
      <c r="HXB31" s="55"/>
      <c r="HXC31" s="53"/>
      <c r="HXG31" s="28"/>
      <c r="HXI31" s="55"/>
      <c r="HXJ31" s="53"/>
      <c r="HXN31" s="28"/>
      <c r="HXP31" s="55"/>
      <c r="HXQ31" s="53"/>
      <c r="HXU31" s="28"/>
      <c r="HXW31" s="55"/>
      <c r="HXX31" s="53"/>
      <c r="HYB31" s="28"/>
      <c r="HYD31" s="55"/>
      <c r="HYE31" s="53"/>
      <c r="HYI31" s="28"/>
      <c r="HYK31" s="55"/>
      <c r="HYL31" s="53"/>
      <c r="HYP31" s="28"/>
      <c r="HYR31" s="55"/>
      <c r="HYS31" s="53"/>
      <c r="HYW31" s="28"/>
      <c r="HYY31" s="55"/>
      <c r="HYZ31" s="53"/>
      <c r="HZD31" s="28"/>
      <c r="HZF31" s="55"/>
      <c r="HZG31" s="53"/>
      <c r="HZK31" s="28"/>
      <c r="HZM31" s="55"/>
      <c r="HZN31" s="53"/>
      <c r="HZR31" s="28"/>
      <c r="HZT31" s="55"/>
      <c r="HZU31" s="53"/>
      <c r="HZY31" s="28"/>
      <c r="IAA31" s="55"/>
      <c r="IAB31" s="53"/>
      <c r="IAF31" s="28"/>
      <c r="IAH31" s="55"/>
      <c r="IAI31" s="53"/>
      <c r="IAM31" s="28"/>
      <c r="IAO31" s="55"/>
      <c r="IAP31" s="53"/>
      <c r="IAT31" s="28"/>
      <c r="IAV31" s="55"/>
      <c r="IAW31" s="53"/>
      <c r="IBA31" s="28"/>
      <c r="IBC31" s="55"/>
      <c r="IBD31" s="53"/>
      <c r="IBH31" s="28"/>
      <c r="IBJ31" s="55"/>
      <c r="IBK31" s="53"/>
      <c r="IBO31" s="28"/>
      <c r="IBQ31" s="55"/>
      <c r="IBR31" s="53"/>
      <c r="IBV31" s="28"/>
      <c r="IBX31" s="55"/>
      <c r="IBY31" s="53"/>
      <c r="ICC31" s="28"/>
      <c r="ICE31" s="55"/>
      <c r="ICF31" s="53"/>
      <c r="ICJ31" s="28"/>
      <c r="ICL31" s="55"/>
      <c r="ICM31" s="53"/>
      <c r="ICQ31" s="28"/>
      <c r="ICS31" s="55"/>
      <c r="ICT31" s="53"/>
      <c r="ICX31" s="28"/>
      <c r="ICZ31" s="55"/>
      <c r="IDA31" s="53"/>
      <c r="IDE31" s="28"/>
      <c r="IDG31" s="55"/>
      <c r="IDH31" s="53"/>
      <c r="IDL31" s="28"/>
      <c r="IDN31" s="55"/>
      <c r="IDO31" s="53"/>
      <c r="IDS31" s="28"/>
      <c r="IDU31" s="55"/>
      <c r="IDV31" s="53"/>
      <c r="IDZ31" s="28"/>
      <c r="IEB31" s="55"/>
      <c r="IEC31" s="53"/>
      <c r="IEG31" s="28"/>
      <c r="IEI31" s="55"/>
      <c r="IEJ31" s="53"/>
      <c r="IEN31" s="28"/>
      <c r="IEP31" s="55"/>
      <c r="IEQ31" s="53"/>
      <c r="IEU31" s="28"/>
      <c r="IEW31" s="55"/>
      <c r="IEX31" s="53"/>
      <c r="IFB31" s="28"/>
      <c r="IFD31" s="55"/>
      <c r="IFE31" s="53"/>
      <c r="IFI31" s="28"/>
      <c r="IFK31" s="55"/>
      <c r="IFL31" s="53"/>
      <c r="IFP31" s="28"/>
      <c r="IFR31" s="55"/>
      <c r="IFS31" s="53"/>
      <c r="IFW31" s="28"/>
      <c r="IFY31" s="55"/>
      <c r="IFZ31" s="53"/>
      <c r="IGD31" s="28"/>
      <c r="IGF31" s="55"/>
      <c r="IGG31" s="53"/>
      <c r="IGK31" s="28"/>
      <c r="IGM31" s="55"/>
      <c r="IGN31" s="53"/>
      <c r="IGR31" s="28"/>
      <c r="IGT31" s="55"/>
      <c r="IGU31" s="53"/>
      <c r="IGY31" s="28"/>
      <c r="IHA31" s="55"/>
      <c r="IHB31" s="53"/>
      <c r="IHF31" s="28"/>
      <c r="IHH31" s="55"/>
      <c r="IHI31" s="53"/>
      <c r="IHM31" s="28"/>
      <c r="IHO31" s="55"/>
      <c r="IHP31" s="53"/>
      <c r="IHT31" s="28"/>
      <c r="IHV31" s="55"/>
      <c r="IHW31" s="53"/>
      <c r="IIA31" s="28"/>
      <c r="IIC31" s="55"/>
      <c r="IID31" s="53"/>
      <c r="IIH31" s="28"/>
      <c r="IIJ31" s="55"/>
      <c r="IIK31" s="53"/>
      <c r="IIO31" s="28"/>
      <c r="IIQ31" s="55"/>
      <c r="IIR31" s="53"/>
      <c r="IIV31" s="28"/>
      <c r="IIX31" s="55"/>
      <c r="IIY31" s="53"/>
      <c r="IJC31" s="28"/>
      <c r="IJE31" s="55"/>
      <c r="IJF31" s="53"/>
      <c r="IJJ31" s="28"/>
      <c r="IJL31" s="55"/>
      <c r="IJM31" s="53"/>
      <c r="IJQ31" s="28"/>
      <c r="IJS31" s="55"/>
      <c r="IJT31" s="53"/>
      <c r="IJX31" s="28"/>
      <c r="IJZ31" s="55"/>
      <c r="IKA31" s="53"/>
      <c r="IKE31" s="28"/>
      <c r="IKG31" s="55"/>
      <c r="IKH31" s="53"/>
      <c r="IKL31" s="28"/>
      <c r="IKN31" s="55"/>
      <c r="IKO31" s="53"/>
      <c r="IKS31" s="28"/>
      <c r="IKU31" s="55"/>
      <c r="IKV31" s="53"/>
      <c r="IKZ31" s="28"/>
      <c r="ILB31" s="55"/>
      <c r="ILC31" s="53"/>
      <c r="ILG31" s="28"/>
      <c r="ILI31" s="55"/>
      <c r="ILJ31" s="53"/>
      <c r="ILN31" s="28"/>
      <c r="ILP31" s="55"/>
      <c r="ILQ31" s="53"/>
      <c r="ILU31" s="28"/>
      <c r="ILW31" s="55"/>
      <c r="ILX31" s="53"/>
      <c r="IMB31" s="28"/>
      <c r="IMD31" s="55"/>
      <c r="IME31" s="53"/>
      <c r="IMI31" s="28"/>
      <c r="IMK31" s="55"/>
      <c r="IML31" s="53"/>
      <c r="IMP31" s="28"/>
      <c r="IMR31" s="55"/>
      <c r="IMS31" s="53"/>
      <c r="IMW31" s="28"/>
      <c r="IMY31" s="55"/>
      <c r="IMZ31" s="53"/>
      <c r="IND31" s="28"/>
      <c r="INF31" s="55"/>
      <c r="ING31" s="53"/>
      <c r="INK31" s="28"/>
      <c r="INM31" s="55"/>
      <c r="INN31" s="53"/>
      <c r="INR31" s="28"/>
      <c r="INT31" s="55"/>
      <c r="INU31" s="53"/>
      <c r="INY31" s="28"/>
      <c r="IOA31" s="55"/>
      <c r="IOB31" s="53"/>
      <c r="IOF31" s="28"/>
      <c r="IOH31" s="55"/>
      <c r="IOI31" s="53"/>
      <c r="IOM31" s="28"/>
      <c r="IOO31" s="55"/>
      <c r="IOP31" s="53"/>
      <c r="IOT31" s="28"/>
      <c r="IOV31" s="55"/>
      <c r="IOW31" s="53"/>
      <c r="IPA31" s="28"/>
      <c r="IPC31" s="55"/>
      <c r="IPD31" s="53"/>
      <c r="IPH31" s="28"/>
      <c r="IPJ31" s="55"/>
      <c r="IPK31" s="53"/>
      <c r="IPO31" s="28"/>
      <c r="IPQ31" s="55"/>
      <c r="IPR31" s="53"/>
      <c r="IPV31" s="28"/>
      <c r="IPX31" s="55"/>
      <c r="IPY31" s="53"/>
      <c r="IQC31" s="28"/>
      <c r="IQE31" s="55"/>
      <c r="IQF31" s="53"/>
      <c r="IQJ31" s="28"/>
      <c r="IQL31" s="55"/>
      <c r="IQM31" s="53"/>
      <c r="IQQ31" s="28"/>
      <c r="IQS31" s="55"/>
      <c r="IQT31" s="53"/>
      <c r="IQX31" s="28"/>
      <c r="IQZ31" s="55"/>
      <c r="IRA31" s="53"/>
      <c r="IRE31" s="28"/>
      <c r="IRG31" s="55"/>
      <c r="IRH31" s="53"/>
      <c r="IRL31" s="28"/>
      <c r="IRN31" s="55"/>
      <c r="IRO31" s="53"/>
      <c r="IRS31" s="28"/>
      <c r="IRU31" s="55"/>
      <c r="IRV31" s="53"/>
      <c r="IRZ31" s="28"/>
      <c r="ISB31" s="55"/>
      <c r="ISC31" s="53"/>
      <c r="ISG31" s="28"/>
      <c r="ISI31" s="55"/>
      <c r="ISJ31" s="53"/>
      <c r="ISN31" s="28"/>
      <c r="ISP31" s="55"/>
      <c r="ISQ31" s="53"/>
      <c r="ISU31" s="28"/>
      <c r="ISW31" s="55"/>
      <c r="ISX31" s="53"/>
      <c r="ITB31" s="28"/>
      <c r="ITD31" s="55"/>
      <c r="ITE31" s="53"/>
      <c r="ITI31" s="28"/>
      <c r="ITK31" s="55"/>
      <c r="ITL31" s="53"/>
      <c r="ITP31" s="28"/>
      <c r="ITR31" s="55"/>
      <c r="ITS31" s="53"/>
      <c r="ITW31" s="28"/>
      <c r="ITY31" s="55"/>
      <c r="ITZ31" s="53"/>
      <c r="IUD31" s="28"/>
      <c r="IUF31" s="55"/>
      <c r="IUG31" s="53"/>
      <c r="IUK31" s="28"/>
      <c r="IUM31" s="55"/>
      <c r="IUN31" s="53"/>
      <c r="IUR31" s="28"/>
      <c r="IUT31" s="55"/>
      <c r="IUU31" s="53"/>
      <c r="IUY31" s="28"/>
      <c r="IVA31" s="55"/>
      <c r="IVB31" s="53"/>
      <c r="IVF31" s="28"/>
      <c r="IVH31" s="55"/>
      <c r="IVI31" s="53"/>
      <c r="IVM31" s="28"/>
      <c r="IVO31" s="55"/>
      <c r="IVP31" s="53"/>
      <c r="IVT31" s="28"/>
      <c r="IVV31" s="55"/>
      <c r="IVW31" s="53"/>
      <c r="IWA31" s="28"/>
      <c r="IWC31" s="55"/>
      <c r="IWD31" s="53"/>
      <c r="IWH31" s="28"/>
      <c r="IWJ31" s="55"/>
      <c r="IWK31" s="53"/>
      <c r="IWO31" s="28"/>
      <c r="IWQ31" s="55"/>
      <c r="IWR31" s="53"/>
      <c r="IWV31" s="28"/>
      <c r="IWX31" s="55"/>
      <c r="IWY31" s="53"/>
      <c r="IXC31" s="28"/>
      <c r="IXE31" s="55"/>
      <c r="IXF31" s="53"/>
      <c r="IXJ31" s="28"/>
      <c r="IXL31" s="55"/>
      <c r="IXM31" s="53"/>
      <c r="IXQ31" s="28"/>
      <c r="IXS31" s="55"/>
      <c r="IXT31" s="53"/>
      <c r="IXX31" s="28"/>
      <c r="IXZ31" s="55"/>
      <c r="IYA31" s="53"/>
      <c r="IYE31" s="28"/>
      <c r="IYG31" s="55"/>
      <c r="IYH31" s="53"/>
      <c r="IYL31" s="28"/>
      <c r="IYN31" s="55"/>
      <c r="IYO31" s="53"/>
      <c r="IYS31" s="28"/>
      <c r="IYU31" s="55"/>
      <c r="IYV31" s="53"/>
      <c r="IYZ31" s="28"/>
      <c r="IZB31" s="55"/>
      <c r="IZC31" s="53"/>
      <c r="IZG31" s="28"/>
      <c r="IZI31" s="55"/>
      <c r="IZJ31" s="53"/>
      <c r="IZN31" s="28"/>
      <c r="IZP31" s="55"/>
      <c r="IZQ31" s="53"/>
      <c r="IZU31" s="28"/>
      <c r="IZW31" s="55"/>
      <c r="IZX31" s="53"/>
      <c r="JAB31" s="28"/>
      <c r="JAD31" s="55"/>
      <c r="JAE31" s="53"/>
      <c r="JAI31" s="28"/>
      <c r="JAK31" s="55"/>
      <c r="JAL31" s="53"/>
      <c r="JAP31" s="28"/>
      <c r="JAR31" s="55"/>
      <c r="JAS31" s="53"/>
      <c r="JAW31" s="28"/>
      <c r="JAY31" s="55"/>
      <c r="JAZ31" s="53"/>
      <c r="JBD31" s="28"/>
      <c r="JBF31" s="55"/>
      <c r="JBG31" s="53"/>
      <c r="JBK31" s="28"/>
      <c r="JBM31" s="55"/>
      <c r="JBN31" s="53"/>
      <c r="JBR31" s="28"/>
      <c r="JBT31" s="55"/>
      <c r="JBU31" s="53"/>
      <c r="JBY31" s="28"/>
      <c r="JCA31" s="55"/>
      <c r="JCB31" s="53"/>
      <c r="JCF31" s="28"/>
      <c r="JCH31" s="55"/>
      <c r="JCI31" s="53"/>
      <c r="JCM31" s="28"/>
      <c r="JCO31" s="55"/>
      <c r="JCP31" s="53"/>
      <c r="JCT31" s="28"/>
      <c r="JCV31" s="55"/>
      <c r="JCW31" s="53"/>
      <c r="JDA31" s="28"/>
      <c r="JDC31" s="55"/>
      <c r="JDD31" s="53"/>
      <c r="JDH31" s="28"/>
      <c r="JDJ31" s="55"/>
      <c r="JDK31" s="53"/>
      <c r="JDO31" s="28"/>
      <c r="JDQ31" s="55"/>
      <c r="JDR31" s="53"/>
      <c r="JDV31" s="28"/>
      <c r="JDX31" s="55"/>
      <c r="JDY31" s="53"/>
      <c r="JEC31" s="28"/>
      <c r="JEE31" s="55"/>
      <c r="JEF31" s="53"/>
      <c r="JEJ31" s="28"/>
      <c r="JEL31" s="55"/>
      <c r="JEM31" s="53"/>
      <c r="JEQ31" s="28"/>
      <c r="JES31" s="55"/>
      <c r="JET31" s="53"/>
      <c r="JEX31" s="28"/>
      <c r="JEZ31" s="55"/>
      <c r="JFA31" s="53"/>
      <c r="JFE31" s="28"/>
      <c r="JFG31" s="55"/>
      <c r="JFH31" s="53"/>
      <c r="JFL31" s="28"/>
      <c r="JFN31" s="55"/>
      <c r="JFO31" s="53"/>
      <c r="JFS31" s="28"/>
      <c r="JFU31" s="55"/>
      <c r="JFV31" s="53"/>
      <c r="JFZ31" s="28"/>
      <c r="JGB31" s="55"/>
      <c r="JGC31" s="53"/>
      <c r="JGG31" s="28"/>
      <c r="JGI31" s="55"/>
      <c r="JGJ31" s="53"/>
      <c r="JGN31" s="28"/>
      <c r="JGP31" s="55"/>
      <c r="JGQ31" s="53"/>
      <c r="JGU31" s="28"/>
      <c r="JGW31" s="55"/>
      <c r="JGX31" s="53"/>
      <c r="JHB31" s="28"/>
      <c r="JHD31" s="55"/>
      <c r="JHE31" s="53"/>
      <c r="JHI31" s="28"/>
      <c r="JHK31" s="55"/>
      <c r="JHL31" s="53"/>
      <c r="JHP31" s="28"/>
      <c r="JHR31" s="55"/>
      <c r="JHS31" s="53"/>
      <c r="JHW31" s="28"/>
      <c r="JHY31" s="55"/>
      <c r="JHZ31" s="53"/>
      <c r="JID31" s="28"/>
      <c r="JIF31" s="55"/>
      <c r="JIG31" s="53"/>
      <c r="JIK31" s="28"/>
      <c r="JIM31" s="55"/>
      <c r="JIN31" s="53"/>
      <c r="JIR31" s="28"/>
      <c r="JIT31" s="55"/>
      <c r="JIU31" s="53"/>
      <c r="JIY31" s="28"/>
      <c r="JJA31" s="55"/>
      <c r="JJB31" s="53"/>
      <c r="JJF31" s="28"/>
      <c r="JJH31" s="55"/>
      <c r="JJI31" s="53"/>
      <c r="JJM31" s="28"/>
      <c r="JJO31" s="55"/>
      <c r="JJP31" s="53"/>
      <c r="JJT31" s="28"/>
      <c r="JJV31" s="55"/>
      <c r="JJW31" s="53"/>
      <c r="JKA31" s="28"/>
      <c r="JKC31" s="55"/>
      <c r="JKD31" s="53"/>
      <c r="JKH31" s="28"/>
      <c r="JKJ31" s="55"/>
      <c r="JKK31" s="53"/>
      <c r="JKO31" s="28"/>
      <c r="JKQ31" s="55"/>
      <c r="JKR31" s="53"/>
      <c r="JKV31" s="28"/>
      <c r="JKX31" s="55"/>
      <c r="JKY31" s="53"/>
      <c r="JLC31" s="28"/>
      <c r="JLE31" s="55"/>
      <c r="JLF31" s="53"/>
      <c r="JLJ31" s="28"/>
      <c r="JLL31" s="55"/>
      <c r="JLM31" s="53"/>
      <c r="JLQ31" s="28"/>
      <c r="JLS31" s="55"/>
      <c r="JLT31" s="53"/>
      <c r="JLX31" s="28"/>
      <c r="JLZ31" s="55"/>
      <c r="JMA31" s="53"/>
      <c r="JME31" s="28"/>
      <c r="JMG31" s="55"/>
      <c r="JMH31" s="53"/>
      <c r="JML31" s="28"/>
      <c r="JMN31" s="55"/>
      <c r="JMO31" s="53"/>
      <c r="JMS31" s="28"/>
      <c r="JMU31" s="55"/>
      <c r="JMV31" s="53"/>
      <c r="JMZ31" s="28"/>
      <c r="JNB31" s="55"/>
      <c r="JNC31" s="53"/>
      <c r="JNG31" s="28"/>
      <c r="JNI31" s="55"/>
      <c r="JNJ31" s="53"/>
      <c r="JNN31" s="28"/>
      <c r="JNP31" s="55"/>
      <c r="JNQ31" s="53"/>
      <c r="JNU31" s="28"/>
      <c r="JNW31" s="55"/>
      <c r="JNX31" s="53"/>
      <c r="JOB31" s="28"/>
      <c r="JOD31" s="55"/>
      <c r="JOE31" s="53"/>
      <c r="JOI31" s="28"/>
      <c r="JOK31" s="55"/>
      <c r="JOL31" s="53"/>
      <c r="JOP31" s="28"/>
      <c r="JOR31" s="55"/>
      <c r="JOS31" s="53"/>
      <c r="JOW31" s="28"/>
      <c r="JOY31" s="55"/>
      <c r="JOZ31" s="53"/>
      <c r="JPD31" s="28"/>
      <c r="JPF31" s="55"/>
      <c r="JPG31" s="53"/>
      <c r="JPK31" s="28"/>
      <c r="JPM31" s="55"/>
      <c r="JPN31" s="53"/>
      <c r="JPR31" s="28"/>
      <c r="JPT31" s="55"/>
      <c r="JPU31" s="53"/>
      <c r="JPY31" s="28"/>
      <c r="JQA31" s="55"/>
      <c r="JQB31" s="53"/>
      <c r="JQF31" s="28"/>
      <c r="JQH31" s="55"/>
      <c r="JQI31" s="53"/>
      <c r="JQM31" s="28"/>
      <c r="JQO31" s="55"/>
      <c r="JQP31" s="53"/>
      <c r="JQT31" s="28"/>
      <c r="JQV31" s="55"/>
      <c r="JQW31" s="53"/>
      <c r="JRA31" s="28"/>
      <c r="JRC31" s="55"/>
      <c r="JRD31" s="53"/>
      <c r="JRH31" s="28"/>
      <c r="JRJ31" s="55"/>
      <c r="JRK31" s="53"/>
      <c r="JRO31" s="28"/>
      <c r="JRQ31" s="55"/>
      <c r="JRR31" s="53"/>
      <c r="JRV31" s="28"/>
      <c r="JRX31" s="55"/>
      <c r="JRY31" s="53"/>
      <c r="JSC31" s="28"/>
      <c r="JSE31" s="55"/>
      <c r="JSF31" s="53"/>
      <c r="JSJ31" s="28"/>
      <c r="JSL31" s="55"/>
      <c r="JSM31" s="53"/>
      <c r="JSQ31" s="28"/>
      <c r="JSS31" s="55"/>
      <c r="JST31" s="53"/>
      <c r="JSX31" s="28"/>
      <c r="JSZ31" s="55"/>
      <c r="JTA31" s="53"/>
      <c r="JTE31" s="28"/>
      <c r="JTG31" s="55"/>
      <c r="JTH31" s="53"/>
      <c r="JTL31" s="28"/>
      <c r="JTN31" s="55"/>
      <c r="JTO31" s="53"/>
      <c r="JTS31" s="28"/>
      <c r="JTU31" s="55"/>
      <c r="JTV31" s="53"/>
      <c r="JTZ31" s="28"/>
      <c r="JUB31" s="55"/>
      <c r="JUC31" s="53"/>
      <c r="JUG31" s="28"/>
      <c r="JUI31" s="55"/>
      <c r="JUJ31" s="53"/>
      <c r="JUN31" s="28"/>
      <c r="JUP31" s="55"/>
      <c r="JUQ31" s="53"/>
      <c r="JUU31" s="28"/>
      <c r="JUW31" s="55"/>
      <c r="JUX31" s="53"/>
      <c r="JVB31" s="28"/>
      <c r="JVD31" s="55"/>
      <c r="JVE31" s="53"/>
      <c r="JVI31" s="28"/>
      <c r="JVK31" s="55"/>
      <c r="JVL31" s="53"/>
      <c r="JVP31" s="28"/>
      <c r="JVR31" s="55"/>
      <c r="JVS31" s="53"/>
      <c r="JVW31" s="28"/>
      <c r="JVY31" s="55"/>
      <c r="JVZ31" s="53"/>
      <c r="JWD31" s="28"/>
      <c r="JWF31" s="55"/>
      <c r="JWG31" s="53"/>
      <c r="JWK31" s="28"/>
      <c r="JWM31" s="55"/>
      <c r="JWN31" s="53"/>
      <c r="JWR31" s="28"/>
      <c r="JWT31" s="55"/>
      <c r="JWU31" s="53"/>
      <c r="JWY31" s="28"/>
      <c r="JXA31" s="55"/>
      <c r="JXB31" s="53"/>
      <c r="JXF31" s="28"/>
      <c r="JXH31" s="55"/>
      <c r="JXI31" s="53"/>
      <c r="JXM31" s="28"/>
      <c r="JXO31" s="55"/>
      <c r="JXP31" s="53"/>
      <c r="JXT31" s="28"/>
      <c r="JXV31" s="55"/>
      <c r="JXW31" s="53"/>
      <c r="JYA31" s="28"/>
      <c r="JYC31" s="55"/>
      <c r="JYD31" s="53"/>
      <c r="JYH31" s="28"/>
      <c r="JYJ31" s="55"/>
      <c r="JYK31" s="53"/>
      <c r="JYO31" s="28"/>
      <c r="JYQ31" s="55"/>
      <c r="JYR31" s="53"/>
      <c r="JYV31" s="28"/>
      <c r="JYX31" s="55"/>
      <c r="JYY31" s="53"/>
      <c r="JZC31" s="28"/>
      <c r="JZE31" s="55"/>
      <c r="JZF31" s="53"/>
      <c r="JZJ31" s="28"/>
      <c r="JZL31" s="55"/>
      <c r="JZM31" s="53"/>
      <c r="JZQ31" s="28"/>
      <c r="JZS31" s="55"/>
      <c r="JZT31" s="53"/>
      <c r="JZX31" s="28"/>
      <c r="JZZ31" s="55"/>
      <c r="KAA31" s="53"/>
      <c r="KAE31" s="28"/>
      <c r="KAG31" s="55"/>
      <c r="KAH31" s="53"/>
      <c r="KAL31" s="28"/>
      <c r="KAN31" s="55"/>
      <c r="KAO31" s="53"/>
      <c r="KAS31" s="28"/>
      <c r="KAU31" s="55"/>
      <c r="KAV31" s="53"/>
      <c r="KAZ31" s="28"/>
      <c r="KBB31" s="55"/>
      <c r="KBC31" s="53"/>
      <c r="KBG31" s="28"/>
      <c r="KBI31" s="55"/>
      <c r="KBJ31" s="53"/>
      <c r="KBN31" s="28"/>
      <c r="KBP31" s="55"/>
      <c r="KBQ31" s="53"/>
      <c r="KBU31" s="28"/>
      <c r="KBW31" s="55"/>
      <c r="KBX31" s="53"/>
      <c r="KCB31" s="28"/>
      <c r="KCD31" s="55"/>
      <c r="KCE31" s="53"/>
      <c r="KCI31" s="28"/>
      <c r="KCK31" s="55"/>
      <c r="KCL31" s="53"/>
      <c r="KCP31" s="28"/>
      <c r="KCR31" s="55"/>
      <c r="KCS31" s="53"/>
      <c r="KCW31" s="28"/>
      <c r="KCY31" s="55"/>
      <c r="KCZ31" s="53"/>
      <c r="KDD31" s="28"/>
      <c r="KDF31" s="55"/>
      <c r="KDG31" s="53"/>
      <c r="KDK31" s="28"/>
      <c r="KDM31" s="55"/>
      <c r="KDN31" s="53"/>
      <c r="KDR31" s="28"/>
      <c r="KDT31" s="55"/>
      <c r="KDU31" s="53"/>
      <c r="KDY31" s="28"/>
      <c r="KEA31" s="55"/>
      <c r="KEB31" s="53"/>
      <c r="KEF31" s="28"/>
      <c r="KEH31" s="55"/>
      <c r="KEI31" s="53"/>
      <c r="KEM31" s="28"/>
      <c r="KEO31" s="55"/>
      <c r="KEP31" s="53"/>
      <c r="KET31" s="28"/>
      <c r="KEV31" s="55"/>
      <c r="KEW31" s="53"/>
      <c r="KFA31" s="28"/>
      <c r="KFC31" s="55"/>
      <c r="KFD31" s="53"/>
      <c r="KFH31" s="28"/>
      <c r="KFJ31" s="55"/>
      <c r="KFK31" s="53"/>
      <c r="KFO31" s="28"/>
      <c r="KFQ31" s="55"/>
      <c r="KFR31" s="53"/>
      <c r="KFV31" s="28"/>
      <c r="KFX31" s="55"/>
      <c r="KFY31" s="53"/>
      <c r="KGC31" s="28"/>
      <c r="KGE31" s="55"/>
      <c r="KGF31" s="53"/>
      <c r="KGJ31" s="28"/>
      <c r="KGL31" s="55"/>
      <c r="KGM31" s="53"/>
      <c r="KGQ31" s="28"/>
      <c r="KGS31" s="55"/>
      <c r="KGT31" s="53"/>
      <c r="KGX31" s="28"/>
      <c r="KGZ31" s="55"/>
      <c r="KHA31" s="53"/>
      <c r="KHE31" s="28"/>
      <c r="KHG31" s="55"/>
      <c r="KHH31" s="53"/>
      <c r="KHL31" s="28"/>
      <c r="KHN31" s="55"/>
      <c r="KHO31" s="53"/>
      <c r="KHS31" s="28"/>
      <c r="KHU31" s="55"/>
      <c r="KHV31" s="53"/>
      <c r="KHZ31" s="28"/>
      <c r="KIB31" s="55"/>
      <c r="KIC31" s="53"/>
      <c r="KIG31" s="28"/>
      <c r="KII31" s="55"/>
      <c r="KIJ31" s="53"/>
      <c r="KIN31" s="28"/>
      <c r="KIP31" s="55"/>
      <c r="KIQ31" s="53"/>
      <c r="KIU31" s="28"/>
      <c r="KIW31" s="55"/>
      <c r="KIX31" s="53"/>
      <c r="KJB31" s="28"/>
      <c r="KJD31" s="55"/>
      <c r="KJE31" s="53"/>
      <c r="KJI31" s="28"/>
      <c r="KJK31" s="55"/>
      <c r="KJL31" s="53"/>
      <c r="KJP31" s="28"/>
      <c r="KJR31" s="55"/>
      <c r="KJS31" s="53"/>
      <c r="KJW31" s="28"/>
      <c r="KJY31" s="55"/>
      <c r="KJZ31" s="53"/>
      <c r="KKD31" s="28"/>
      <c r="KKF31" s="55"/>
      <c r="KKG31" s="53"/>
      <c r="KKK31" s="28"/>
      <c r="KKM31" s="55"/>
      <c r="KKN31" s="53"/>
      <c r="KKR31" s="28"/>
      <c r="KKT31" s="55"/>
      <c r="KKU31" s="53"/>
      <c r="KKY31" s="28"/>
      <c r="KLA31" s="55"/>
      <c r="KLB31" s="53"/>
      <c r="KLF31" s="28"/>
      <c r="KLH31" s="55"/>
      <c r="KLI31" s="53"/>
      <c r="KLM31" s="28"/>
      <c r="KLO31" s="55"/>
      <c r="KLP31" s="53"/>
      <c r="KLT31" s="28"/>
      <c r="KLV31" s="55"/>
      <c r="KLW31" s="53"/>
      <c r="KMA31" s="28"/>
      <c r="KMC31" s="55"/>
      <c r="KMD31" s="53"/>
      <c r="KMH31" s="28"/>
      <c r="KMJ31" s="55"/>
      <c r="KMK31" s="53"/>
      <c r="KMO31" s="28"/>
      <c r="KMQ31" s="55"/>
      <c r="KMR31" s="53"/>
      <c r="KMV31" s="28"/>
      <c r="KMX31" s="55"/>
      <c r="KMY31" s="53"/>
      <c r="KNC31" s="28"/>
      <c r="KNE31" s="55"/>
      <c r="KNF31" s="53"/>
      <c r="KNJ31" s="28"/>
      <c r="KNL31" s="55"/>
      <c r="KNM31" s="53"/>
      <c r="KNQ31" s="28"/>
      <c r="KNS31" s="55"/>
      <c r="KNT31" s="53"/>
      <c r="KNX31" s="28"/>
      <c r="KNZ31" s="55"/>
      <c r="KOA31" s="53"/>
      <c r="KOE31" s="28"/>
      <c r="KOG31" s="55"/>
      <c r="KOH31" s="53"/>
      <c r="KOL31" s="28"/>
      <c r="KON31" s="55"/>
      <c r="KOO31" s="53"/>
      <c r="KOS31" s="28"/>
      <c r="KOU31" s="55"/>
      <c r="KOV31" s="53"/>
      <c r="KOZ31" s="28"/>
      <c r="KPB31" s="55"/>
      <c r="KPC31" s="53"/>
      <c r="KPG31" s="28"/>
      <c r="KPI31" s="55"/>
      <c r="KPJ31" s="53"/>
      <c r="KPN31" s="28"/>
      <c r="KPP31" s="55"/>
      <c r="KPQ31" s="53"/>
      <c r="KPU31" s="28"/>
      <c r="KPW31" s="55"/>
      <c r="KPX31" s="53"/>
      <c r="KQB31" s="28"/>
      <c r="KQD31" s="55"/>
      <c r="KQE31" s="53"/>
      <c r="KQI31" s="28"/>
      <c r="KQK31" s="55"/>
      <c r="KQL31" s="53"/>
      <c r="KQP31" s="28"/>
      <c r="KQR31" s="55"/>
      <c r="KQS31" s="53"/>
      <c r="KQW31" s="28"/>
      <c r="KQY31" s="55"/>
      <c r="KQZ31" s="53"/>
      <c r="KRD31" s="28"/>
      <c r="KRF31" s="55"/>
      <c r="KRG31" s="53"/>
      <c r="KRK31" s="28"/>
      <c r="KRM31" s="55"/>
      <c r="KRN31" s="53"/>
      <c r="KRR31" s="28"/>
      <c r="KRT31" s="55"/>
      <c r="KRU31" s="53"/>
      <c r="KRY31" s="28"/>
      <c r="KSA31" s="55"/>
      <c r="KSB31" s="53"/>
      <c r="KSF31" s="28"/>
      <c r="KSH31" s="55"/>
      <c r="KSI31" s="53"/>
      <c r="KSM31" s="28"/>
      <c r="KSO31" s="55"/>
      <c r="KSP31" s="53"/>
      <c r="KST31" s="28"/>
      <c r="KSV31" s="55"/>
      <c r="KSW31" s="53"/>
      <c r="KTA31" s="28"/>
      <c r="KTC31" s="55"/>
      <c r="KTD31" s="53"/>
      <c r="KTH31" s="28"/>
      <c r="KTJ31" s="55"/>
      <c r="KTK31" s="53"/>
      <c r="KTO31" s="28"/>
      <c r="KTQ31" s="55"/>
      <c r="KTR31" s="53"/>
      <c r="KTV31" s="28"/>
      <c r="KTX31" s="55"/>
      <c r="KTY31" s="53"/>
      <c r="KUC31" s="28"/>
      <c r="KUE31" s="55"/>
      <c r="KUF31" s="53"/>
      <c r="KUJ31" s="28"/>
      <c r="KUL31" s="55"/>
      <c r="KUM31" s="53"/>
      <c r="KUQ31" s="28"/>
      <c r="KUS31" s="55"/>
      <c r="KUT31" s="53"/>
      <c r="KUX31" s="28"/>
      <c r="KUZ31" s="55"/>
      <c r="KVA31" s="53"/>
      <c r="KVE31" s="28"/>
      <c r="KVG31" s="55"/>
      <c r="KVH31" s="53"/>
      <c r="KVL31" s="28"/>
      <c r="KVN31" s="55"/>
      <c r="KVO31" s="53"/>
      <c r="KVS31" s="28"/>
      <c r="KVU31" s="55"/>
      <c r="KVV31" s="53"/>
      <c r="KVZ31" s="28"/>
      <c r="KWB31" s="55"/>
      <c r="KWC31" s="53"/>
      <c r="KWG31" s="28"/>
      <c r="KWI31" s="55"/>
      <c r="KWJ31" s="53"/>
      <c r="KWN31" s="28"/>
      <c r="KWP31" s="55"/>
      <c r="KWQ31" s="53"/>
      <c r="KWU31" s="28"/>
      <c r="KWW31" s="55"/>
      <c r="KWX31" s="53"/>
      <c r="KXB31" s="28"/>
      <c r="KXD31" s="55"/>
      <c r="KXE31" s="53"/>
      <c r="KXI31" s="28"/>
      <c r="KXK31" s="55"/>
      <c r="KXL31" s="53"/>
      <c r="KXP31" s="28"/>
      <c r="KXR31" s="55"/>
      <c r="KXS31" s="53"/>
      <c r="KXW31" s="28"/>
      <c r="KXY31" s="55"/>
      <c r="KXZ31" s="53"/>
      <c r="KYD31" s="28"/>
      <c r="KYF31" s="55"/>
      <c r="KYG31" s="53"/>
      <c r="KYK31" s="28"/>
      <c r="KYM31" s="55"/>
      <c r="KYN31" s="53"/>
      <c r="KYR31" s="28"/>
      <c r="KYT31" s="55"/>
      <c r="KYU31" s="53"/>
      <c r="KYY31" s="28"/>
      <c r="KZA31" s="55"/>
      <c r="KZB31" s="53"/>
      <c r="KZF31" s="28"/>
      <c r="KZH31" s="55"/>
      <c r="KZI31" s="53"/>
      <c r="KZM31" s="28"/>
      <c r="KZO31" s="55"/>
      <c r="KZP31" s="53"/>
      <c r="KZT31" s="28"/>
      <c r="KZV31" s="55"/>
      <c r="KZW31" s="53"/>
      <c r="LAA31" s="28"/>
      <c r="LAC31" s="55"/>
      <c r="LAD31" s="53"/>
      <c r="LAH31" s="28"/>
      <c r="LAJ31" s="55"/>
      <c r="LAK31" s="53"/>
      <c r="LAO31" s="28"/>
      <c r="LAQ31" s="55"/>
      <c r="LAR31" s="53"/>
      <c r="LAV31" s="28"/>
      <c r="LAX31" s="55"/>
      <c r="LAY31" s="53"/>
      <c r="LBC31" s="28"/>
      <c r="LBE31" s="55"/>
      <c r="LBF31" s="53"/>
      <c r="LBJ31" s="28"/>
      <c r="LBL31" s="55"/>
      <c r="LBM31" s="53"/>
      <c r="LBQ31" s="28"/>
      <c r="LBS31" s="55"/>
      <c r="LBT31" s="53"/>
      <c r="LBX31" s="28"/>
      <c r="LBZ31" s="55"/>
      <c r="LCA31" s="53"/>
      <c r="LCE31" s="28"/>
      <c r="LCG31" s="55"/>
      <c r="LCH31" s="53"/>
      <c r="LCL31" s="28"/>
      <c r="LCN31" s="55"/>
      <c r="LCO31" s="53"/>
      <c r="LCS31" s="28"/>
      <c r="LCU31" s="55"/>
      <c r="LCV31" s="53"/>
      <c r="LCZ31" s="28"/>
      <c r="LDB31" s="55"/>
      <c r="LDC31" s="53"/>
      <c r="LDG31" s="28"/>
      <c r="LDI31" s="55"/>
      <c r="LDJ31" s="53"/>
      <c r="LDN31" s="28"/>
      <c r="LDP31" s="55"/>
      <c r="LDQ31" s="53"/>
      <c r="LDU31" s="28"/>
      <c r="LDW31" s="55"/>
      <c r="LDX31" s="53"/>
      <c r="LEB31" s="28"/>
      <c r="LED31" s="55"/>
      <c r="LEE31" s="53"/>
      <c r="LEI31" s="28"/>
      <c r="LEK31" s="55"/>
      <c r="LEL31" s="53"/>
      <c r="LEP31" s="28"/>
      <c r="LER31" s="55"/>
      <c r="LES31" s="53"/>
      <c r="LEW31" s="28"/>
      <c r="LEY31" s="55"/>
      <c r="LEZ31" s="53"/>
      <c r="LFD31" s="28"/>
      <c r="LFF31" s="55"/>
      <c r="LFG31" s="53"/>
      <c r="LFK31" s="28"/>
      <c r="LFM31" s="55"/>
      <c r="LFN31" s="53"/>
      <c r="LFR31" s="28"/>
      <c r="LFT31" s="55"/>
      <c r="LFU31" s="53"/>
      <c r="LFY31" s="28"/>
      <c r="LGA31" s="55"/>
      <c r="LGB31" s="53"/>
      <c r="LGF31" s="28"/>
      <c r="LGH31" s="55"/>
      <c r="LGI31" s="53"/>
      <c r="LGM31" s="28"/>
      <c r="LGO31" s="55"/>
      <c r="LGP31" s="53"/>
      <c r="LGT31" s="28"/>
      <c r="LGV31" s="55"/>
      <c r="LGW31" s="53"/>
      <c r="LHA31" s="28"/>
      <c r="LHC31" s="55"/>
      <c r="LHD31" s="53"/>
      <c r="LHH31" s="28"/>
      <c r="LHJ31" s="55"/>
      <c r="LHK31" s="53"/>
      <c r="LHO31" s="28"/>
      <c r="LHQ31" s="55"/>
      <c r="LHR31" s="53"/>
      <c r="LHV31" s="28"/>
      <c r="LHX31" s="55"/>
      <c r="LHY31" s="53"/>
      <c r="LIC31" s="28"/>
      <c r="LIE31" s="55"/>
      <c r="LIF31" s="53"/>
      <c r="LIJ31" s="28"/>
      <c r="LIL31" s="55"/>
      <c r="LIM31" s="53"/>
      <c r="LIQ31" s="28"/>
      <c r="LIS31" s="55"/>
      <c r="LIT31" s="53"/>
      <c r="LIX31" s="28"/>
      <c r="LIZ31" s="55"/>
      <c r="LJA31" s="53"/>
      <c r="LJE31" s="28"/>
      <c r="LJG31" s="55"/>
      <c r="LJH31" s="53"/>
      <c r="LJL31" s="28"/>
      <c r="LJN31" s="55"/>
      <c r="LJO31" s="53"/>
      <c r="LJS31" s="28"/>
      <c r="LJU31" s="55"/>
      <c r="LJV31" s="53"/>
      <c r="LJZ31" s="28"/>
      <c r="LKB31" s="55"/>
      <c r="LKC31" s="53"/>
      <c r="LKG31" s="28"/>
      <c r="LKI31" s="55"/>
      <c r="LKJ31" s="53"/>
      <c r="LKN31" s="28"/>
      <c r="LKP31" s="55"/>
      <c r="LKQ31" s="53"/>
      <c r="LKU31" s="28"/>
      <c r="LKW31" s="55"/>
      <c r="LKX31" s="53"/>
      <c r="LLB31" s="28"/>
      <c r="LLD31" s="55"/>
      <c r="LLE31" s="53"/>
      <c r="LLI31" s="28"/>
      <c r="LLK31" s="55"/>
      <c r="LLL31" s="53"/>
      <c r="LLP31" s="28"/>
      <c r="LLR31" s="55"/>
      <c r="LLS31" s="53"/>
      <c r="LLW31" s="28"/>
      <c r="LLY31" s="55"/>
      <c r="LLZ31" s="53"/>
      <c r="LMD31" s="28"/>
      <c r="LMF31" s="55"/>
      <c r="LMG31" s="53"/>
      <c r="LMK31" s="28"/>
      <c r="LMM31" s="55"/>
      <c r="LMN31" s="53"/>
      <c r="LMR31" s="28"/>
      <c r="LMT31" s="55"/>
      <c r="LMU31" s="53"/>
      <c r="LMY31" s="28"/>
      <c r="LNA31" s="55"/>
      <c r="LNB31" s="53"/>
      <c r="LNF31" s="28"/>
      <c r="LNH31" s="55"/>
      <c r="LNI31" s="53"/>
      <c r="LNM31" s="28"/>
      <c r="LNO31" s="55"/>
      <c r="LNP31" s="53"/>
      <c r="LNT31" s="28"/>
      <c r="LNV31" s="55"/>
      <c r="LNW31" s="53"/>
      <c r="LOA31" s="28"/>
      <c r="LOC31" s="55"/>
      <c r="LOD31" s="53"/>
      <c r="LOH31" s="28"/>
      <c r="LOJ31" s="55"/>
      <c r="LOK31" s="53"/>
      <c r="LOO31" s="28"/>
      <c r="LOQ31" s="55"/>
      <c r="LOR31" s="53"/>
      <c r="LOV31" s="28"/>
      <c r="LOX31" s="55"/>
      <c r="LOY31" s="53"/>
      <c r="LPC31" s="28"/>
      <c r="LPE31" s="55"/>
      <c r="LPF31" s="53"/>
      <c r="LPJ31" s="28"/>
      <c r="LPL31" s="55"/>
      <c r="LPM31" s="53"/>
      <c r="LPQ31" s="28"/>
      <c r="LPS31" s="55"/>
      <c r="LPT31" s="53"/>
      <c r="LPX31" s="28"/>
      <c r="LPZ31" s="55"/>
      <c r="LQA31" s="53"/>
      <c r="LQE31" s="28"/>
      <c r="LQG31" s="55"/>
      <c r="LQH31" s="53"/>
      <c r="LQL31" s="28"/>
      <c r="LQN31" s="55"/>
      <c r="LQO31" s="53"/>
      <c r="LQS31" s="28"/>
      <c r="LQU31" s="55"/>
      <c r="LQV31" s="53"/>
      <c r="LQZ31" s="28"/>
      <c r="LRB31" s="55"/>
      <c r="LRC31" s="53"/>
      <c r="LRG31" s="28"/>
      <c r="LRI31" s="55"/>
      <c r="LRJ31" s="53"/>
      <c r="LRN31" s="28"/>
      <c r="LRP31" s="55"/>
      <c r="LRQ31" s="53"/>
      <c r="LRU31" s="28"/>
      <c r="LRW31" s="55"/>
      <c r="LRX31" s="53"/>
      <c r="LSB31" s="28"/>
      <c r="LSD31" s="55"/>
      <c r="LSE31" s="53"/>
      <c r="LSI31" s="28"/>
      <c r="LSK31" s="55"/>
      <c r="LSL31" s="53"/>
      <c r="LSP31" s="28"/>
      <c r="LSR31" s="55"/>
      <c r="LSS31" s="53"/>
      <c r="LSW31" s="28"/>
      <c r="LSY31" s="55"/>
      <c r="LSZ31" s="53"/>
      <c r="LTD31" s="28"/>
      <c r="LTF31" s="55"/>
      <c r="LTG31" s="53"/>
      <c r="LTK31" s="28"/>
      <c r="LTM31" s="55"/>
      <c r="LTN31" s="53"/>
      <c r="LTR31" s="28"/>
      <c r="LTT31" s="55"/>
      <c r="LTU31" s="53"/>
      <c r="LTY31" s="28"/>
      <c r="LUA31" s="55"/>
      <c r="LUB31" s="53"/>
      <c r="LUF31" s="28"/>
      <c r="LUH31" s="55"/>
      <c r="LUI31" s="53"/>
      <c r="LUM31" s="28"/>
      <c r="LUO31" s="55"/>
      <c r="LUP31" s="53"/>
      <c r="LUT31" s="28"/>
      <c r="LUV31" s="55"/>
      <c r="LUW31" s="53"/>
      <c r="LVA31" s="28"/>
      <c r="LVC31" s="55"/>
      <c r="LVD31" s="53"/>
      <c r="LVH31" s="28"/>
      <c r="LVJ31" s="55"/>
      <c r="LVK31" s="53"/>
      <c r="LVO31" s="28"/>
      <c r="LVQ31" s="55"/>
      <c r="LVR31" s="53"/>
      <c r="LVV31" s="28"/>
      <c r="LVX31" s="55"/>
      <c r="LVY31" s="53"/>
      <c r="LWC31" s="28"/>
      <c r="LWE31" s="55"/>
      <c r="LWF31" s="53"/>
      <c r="LWJ31" s="28"/>
      <c r="LWL31" s="55"/>
      <c r="LWM31" s="53"/>
      <c r="LWQ31" s="28"/>
      <c r="LWS31" s="55"/>
      <c r="LWT31" s="53"/>
      <c r="LWX31" s="28"/>
      <c r="LWZ31" s="55"/>
      <c r="LXA31" s="53"/>
      <c r="LXE31" s="28"/>
      <c r="LXG31" s="55"/>
      <c r="LXH31" s="53"/>
      <c r="LXL31" s="28"/>
      <c r="LXN31" s="55"/>
      <c r="LXO31" s="53"/>
      <c r="LXS31" s="28"/>
      <c r="LXU31" s="55"/>
      <c r="LXV31" s="53"/>
      <c r="LXZ31" s="28"/>
      <c r="LYB31" s="55"/>
      <c r="LYC31" s="53"/>
      <c r="LYG31" s="28"/>
      <c r="LYI31" s="55"/>
      <c r="LYJ31" s="53"/>
      <c r="LYN31" s="28"/>
      <c r="LYP31" s="55"/>
      <c r="LYQ31" s="53"/>
      <c r="LYU31" s="28"/>
      <c r="LYW31" s="55"/>
      <c r="LYX31" s="53"/>
      <c r="LZB31" s="28"/>
      <c r="LZD31" s="55"/>
      <c r="LZE31" s="53"/>
      <c r="LZI31" s="28"/>
      <c r="LZK31" s="55"/>
      <c r="LZL31" s="53"/>
      <c r="LZP31" s="28"/>
      <c r="LZR31" s="55"/>
      <c r="LZS31" s="53"/>
      <c r="LZW31" s="28"/>
      <c r="LZY31" s="55"/>
      <c r="LZZ31" s="53"/>
      <c r="MAD31" s="28"/>
      <c r="MAF31" s="55"/>
      <c r="MAG31" s="53"/>
      <c r="MAK31" s="28"/>
      <c r="MAM31" s="55"/>
      <c r="MAN31" s="53"/>
      <c r="MAR31" s="28"/>
      <c r="MAT31" s="55"/>
      <c r="MAU31" s="53"/>
      <c r="MAY31" s="28"/>
      <c r="MBA31" s="55"/>
      <c r="MBB31" s="53"/>
      <c r="MBF31" s="28"/>
      <c r="MBH31" s="55"/>
      <c r="MBI31" s="53"/>
      <c r="MBM31" s="28"/>
      <c r="MBO31" s="55"/>
      <c r="MBP31" s="53"/>
      <c r="MBT31" s="28"/>
      <c r="MBV31" s="55"/>
      <c r="MBW31" s="53"/>
      <c r="MCA31" s="28"/>
      <c r="MCC31" s="55"/>
      <c r="MCD31" s="53"/>
      <c r="MCH31" s="28"/>
      <c r="MCJ31" s="55"/>
      <c r="MCK31" s="53"/>
      <c r="MCO31" s="28"/>
      <c r="MCQ31" s="55"/>
      <c r="MCR31" s="53"/>
      <c r="MCV31" s="28"/>
      <c r="MCX31" s="55"/>
      <c r="MCY31" s="53"/>
      <c r="MDC31" s="28"/>
      <c r="MDE31" s="55"/>
      <c r="MDF31" s="53"/>
      <c r="MDJ31" s="28"/>
      <c r="MDL31" s="55"/>
      <c r="MDM31" s="53"/>
      <c r="MDQ31" s="28"/>
      <c r="MDS31" s="55"/>
      <c r="MDT31" s="53"/>
      <c r="MDX31" s="28"/>
      <c r="MDZ31" s="55"/>
      <c r="MEA31" s="53"/>
      <c r="MEE31" s="28"/>
      <c r="MEG31" s="55"/>
      <c r="MEH31" s="53"/>
      <c r="MEL31" s="28"/>
      <c r="MEN31" s="55"/>
      <c r="MEO31" s="53"/>
      <c r="MES31" s="28"/>
      <c r="MEU31" s="55"/>
      <c r="MEV31" s="53"/>
      <c r="MEZ31" s="28"/>
      <c r="MFB31" s="55"/>
      <c r="MFC31" s="53"/>
      <c r="MFG31" s="28"/>
      <c r="MFI31" s="55"/>
      <c r="MFJ31" s="53"/>
      <c r="MFN31" s="28"/>
      <c r="MFP31" s="55"/>
      <c r="MFQ31" s="53"/>
      <c r="MFU31" s="28"/>
      <c r="MFW31" s="55"/>
      <c r="MFX31" s="53"/>
      <c r="MGB31" s="28"/>
      <c r="MGD31" s="55"/>
      <c r="MGE31" s="53"/>
      <c r="MGI31" s="28"/>
      <c r="MGK31" s="55"/>
      <c r="MGL31" s="53"/>
      <c r="MGP31" s="28"/>
      <c r="MGR31" s="55"/>
      <c r="MGS31" s="53"/>
      <c r="MGW31" s="28"/>
      <c r="MGY31" s="55"/>
      <c r="MGZ31" s="53"/>
      <c r="MHD31" s="28"/>
      <c r="MHF31" s="55"/>
      <c r="MHG31" s="53"/>
      <c r="MHK31" s="28"/>
      <c r="MHM31" s="55"/>
      <c r="MHN31" s="53"/>
      <c r="MHR31" s="28"/>
      <c r="MHT31" s="55"/>
      <c r="MHU31" s="53"/>
      <c r="MHY31" s="28"/>
      <c r="MIA31" s="55"/>
      <c r="MIB31" s="53"/>
      <c r="MIF31" s="28"/>
      <c r="MIH31" s="55"/>
      <c r="MII31" s="53"/>
      <c r="MIM31" s="28"/>
      <c r="MIO31" s="55"/>
      <c r="MIP31" s="53"/>
      <c r="MIT31" s="28"/>
      <c r="MIV31" s="55"/>
      <c r="MIW31" s="53"/>
      <c r="MJA31" s="28"/>
      <c r="MJC31" s="55"/>
      <c r="MJD31" s="53"/>
      <c r="MJH31" s="28"/>
      <c r="MJJ31" s="55"/>
      <c r="MJK31" s="53"/>
      <c r="MJO31" s="28"/>
      <c r="MJQ31" s="55"/>
      <c r="MJR31" s="53"/>
      <c r="MJV31" s="28"/>
      <c r="MJX31" s="55"/>
      <c r="MJY31" s="53"/>
      <c r="MKC31" s="28"/>
      <c r="MKE31" s="55"/>
      <c r="MKF31" s="53"/>
      <c r="MKJ31" s="28"/>
      <c r="MKL31" s="55"/>
      <c r="MKM31" s="53"/>
      <c r="MKQ31" s="28"/>
      <c r="MKS31" s="55"/>
      <c r="MKT31" s="53"/>
      <c r="MKX31" s="28"/>
      <c r="MKZ31" s="55"/>
      <c r="MLA31" s="53"/>
      <c r="MLE31" s="28"/>
      <c r="MLG31" s="55"/>
      <c r="MLH31" s="53"/>
      <c r="MLL31" s="28"/>
      <c r="MLN31" s="55"/>
      <c r="MLO31" s="53"/>
      <c r="MLS31" s="28"/>
      <c r="MLU31" s="55"/>
      <c r="MLV31" s="53"/>
      <c r="MLZ31" s="28"/>
      <c r="MMB31" s="55"/>
      <c r="MMC31" s="53"/>
      <c r="MMG31" s="28"/>
      <c r="MMI31" s="55"/>
      <c r="MMJ31" s="53"/>
      <c r="MMN31" s="28"/>
      <c r="MMP31" s="55"/>
      <c r="MMQ31" s="53"/>
      <c r="MMU31" s="28"/>
      <c r="MMW31" s="55"/>
      <c r="MMX31" s="53"/>
      <c r="MNB31" s="28"/>
      <c r="MND31" s="55"/>
      <c r="MNE31" s="53"/>
      <c r="MNI31" s="28"/>
      <c r="MNK31" s="55"/>
      <c r="MNL31" s="53"/>
      <c r="MNP31" s="28"/>
      <c r="MNR31" s="55"/>
      <c r="MNS31" s="53"/>
      <c r="MNW31" s="28"/>
      <c r="MNY31" s="55"/>
      <c r="MNZ31" s="53"/>
      <c r="MOD31" s="28"/>
      <c r="MOF31" s="55"/>
      <c r="MOG31" s="53"/>
      <c r="MOK31" s="28"/>
      <c r="MOM31" s="55"/>
      <c r="MON31" s="53"/>
      <c r="MOR31" s="28"/>
      <c r="MOT31" s="55"/>
      <c r="MOU31" s="53"/>
      <c r="MOY31" s="28"/>
      <c r="MPA31" s="55"/>
      <c r="MPB31" s="53"/>
      <c r="MPF31" s="28"/>
      <c r="MPH31" s="55"/>
      <c r="MPI31" s="53"/>
      <c r="MPM31" s="28"/>
      <c r="MPO31" s="55"/>
      <c r="MPP31" s="53"/>
      <c r="MPT31" s="28"/>
      <c r="MPV31" s="55"/>
      <c r="MPW31" s="53"/>
      <c r="MQA31" s="28"/>
      <c r="MQC31" s="55"/>
      <c r="MQD31" s="53"/>
      <c r="MQH31" s="28"/>
      <c r="MQJ31" s="55"/>
      <c r="MQK31" s="53"/>
      <c r="MQO31" s="28"/>
      <c r="MQQ31" s="55"/>
      <c r="MQR31" s="53"/>
      <c r="MQV31" s="28"/>
      <c r="MQX31" s="55"/>
      <c r="MQY31" s="53"/>
      <c r="MRC31" s="28"/>
      <c r="MRE31" s="55"/>
      <c r="MRF31" s="53"/>
      <c r="MRJ31" s="28"/>
      <c r="MRL31" s="55"/>
      <c r="MRM31" s="53"/>
      <c r="MRQ31" s="28"/>
      <c r="MRS31" s="55"/>
      <c r="MRT31" s="53"/>
      <c r="MRX31" s="28"/>
      <c r="MRZ31" s="55"/>
      <c r="MSA31" s="53"/>
      <c r="MSE31" s="28"/>
      <c r="MSG31" s="55"/>
      <c r="MSH31" s="53"/>
      <c r="MSL31" s="28"/>
      <c r="MSN31" s="55"/>
      <c r="MSO31" s="53"/>
      <c r="MSS31" s="28"/>
      <c r="MSU31" s="55"/>
      <c r="MSV31" s="53"/>
      <c r="MSZ31" s="28"/>
      <c r="MTB31" s="55"/>
      <c r="MTC31" s="53"/>
      <c r="MTG31" s="28"/>
      <c r="MTI31" s="55"/>
      <c r="MTJ31" s="53"/>
      <c r="MTN31" s="28"/>
      <c r="MTP31" s="55"/>
      <c r="MTQ31" s="53"/>
      <c r="MTU31" s="28"/>
      <c r="MTW31" s="55"/>
      <c r="MTX31" s="53"/>
      <c r="MUB31" s="28"/>
      <c r="MUD31" s="55"/>
      <c r="MUE31" s="53"/>
      <c r="MUI31" s="28"/>
      <c r="MUK31" s="55"/>
      <c r="MUL31" s="53"/>
      <c r="MUP31" s="28"/>
      <c r="MUR31" s="55"/>
      <c r="MUS31" s="53"/>
      <c r="MUW31" s="28"/>
      <c r="MUY31" s="55"/>
      <c r="MUZ31" s="53"/>
      <c r="MVD31" s="28"/>
      <c r="MVF31" s="55"/>
      <c r="MVG31" s="53"/>
      <c r="MVK31" s="28"/>
      <c r="MVM31" s="55"/>
      <c r="MVN31" s="53"/>
      <c r="MVR31" s="28"/>
      <c r="MVT31" s="55"/>
      <c r="MVU31" s="53"/>
      <c r="MVY31" s="28"/>
      <c r="MWA31" s="55"/>
      <c r="MWB31" s="53"/>
      <c r="MWF31" s="28"/>
      <c r="MWH31" s="55"/>
      <c r="MWI31" s="53"/>
      <c r="MWM31" s="28"/>
      <c r="MWO31" s="55"/>
      <c r="MWP31" s="53"/>
      <c r="MWT31" s="28"/>
      <c r="MWV31" s="55"/>
      <c r="MWW31" s="53"/>
      <c r="MXA31" s="28"/>
      <c r="MXC31" s="55"/>
      <c r="MXD31" s="53"/>
      <c r="MXH31" s="28"/>
      <c r="MXJ31" s="55"/>
      <c r="MXK31" s="53"/>
      <c r="MXO31" s="28"/>
      <c r="MXQ31" s="55"/>
      <c r="MXR31" s="53"/>
      <c r="MXV31" s="28"/>
      <c r="MXX31" s="55"/>
      <c r="MXY31" s="53"/>
      <c r="MYC31" s="28"/>
      <c r="MYE31" s="55"/>
      <c r="MYF31" s="53"/>
      <c r="MYJ31" s="28"/>
      <c r="MYL31" s="55"/>
      <c r="MYM31" s="53"/>
      <c r="MYQ31" s="28"/>
      <c r="MYS31" s="55"/>
      <c r="MYT31" s="53"/>
      <c r="MYX31" s="28"/>
      <c r="MYZ31" s="55"/>
      <c r="MZA31" s="53"/>
      <c r="MZE31" s="28"/>
      <c r="MZG31" s="55"/>
      <c r="MZH31" s="53"/>
      <c r="MZL31" s="28"/>
      <c r="MZN31" s="55"/>
      <c r="MZO31" s="53"/>
      <c r="MZS31" s="28"/>
      <c r="MZU31" s="55"/>
      <c r="MZV31" s="53"/>
      <c r="MZZ31" s="28"/>
      <c r="NAB31" s="55"/>
      <c r="NAC31" s="53"/>
      <c r="NAG31" s="28"/>
      <c r="NAI31" s="55"/>
      <c r="NAJ31" s="53"/>
      <c r="NAN31" s="28"/>
      <c r="NAP31" s="55"/>
      <c r="NAQ31" s="53"/>
      <c r="NAU31" s="28"/>
      <c r="NAW31" s="55"/>
      <c r="NAX31" s="53"/>
      <c r="NBB31" s="28"/>
      <c r="NBD31" s="55"/>
      <c r="NBE31" s="53"/>
      <c r="NBI31" s="28"/>
      <c r="NBK31" s="55"/>
      <c r="NBL31" s="53"/>
      <c r="NBP31" s="28"/>
      <c r="NBR31" s="55"/>
      <c r="NBS31" s="53"/>
      <c r="NBW31" s="28"/>
      <c r="NBY31" s="55"/>
      <c r="NBZ31" s="53"/>
      <c r="NCD31" s="28"/>
      <c r="NCF31" s="55"/>
      <c r="NCG31" s="53"/>
      <c r="NCK31" s="28"/>
      <c r="NCM31" s="55"/>
      <c r="NCN31" s="53"/>
      <c r="NCR31" s="28"/>
      <c r="NCT31" s="55"/>
      <c r="NCU31" s="53"/>
      <c r="NCY31" s="28"/>
      <c r="NDA31" s="55"/>
      <c r="NDB31" s="53"/>
      <c r="NDF31" s="28"/>
      <c r="NDH31" s="55"/>
      <c r="NDI31" s="53"/>
      <c r="NDM31" s="28"/>
      <c r="NDO31" s="55"/>
      <c r="NDP31" s="53"/>
      <c r="NDT31" s="28"/>
      <c r="NDV31" s="55"/>
      <c r="NDW31" s="53"/>
      <c r="NEA31" s="28"/>
      <c r="NEC31" s="55"/>
      <c r="NED31" s="53"/>
      <c r="NEH31" s="28"/>
      <c r="NEJ31" s="55"/>
      <c r="NEK31" s="53"/>
      <c r="NEO31" s="28"/>
      <c r="NEQ31" s="55"/>
      <c r="NER31" s="53"/>
      <c r="NEV31" s="28"/>
      <c r="NEX31" s="55"/>
      <c r="NEY31" s="53"/>
      <c r="NFC31" s="28"/>
      <c r="NFE31" s="55"/>
      <c r="NFF31" s="53"/>
      <c r="NFJ31" s="28"/>
      <c r="NFL31" s="55"/>
      <c r="NFM31" s="53"/>
      <c r="NFQ31" s="28"/>
      <c r="NFS31" s="55"/>
      <c r="NFT31" s="53"/>
      <c r="NFX31" s="28"/>
      <c r="NFZ31" s="55"/>
      <c r="NGA31" s="53"/>
      <c r="NGE31" s="28"/>
      <c r="NGG31" s="55"/>
      <c r="NGH31" s="53"/>
      <c r="NGL31" s="28"/>
      <c r="NGN31" s="55"/>
      <c r="NGO31" s="53"/>
      <c r="NGS31" s="28"/>
      <c r="NGU31" s="55"/>
      <c r="NGV31" s="53"/>
      <c r="NGZ31" s="28"/>
      <c r="NHB31" s="55"/>
      <c r="NHC31" s="53"/>
      <c r="NHG31" s="28"/>
      <c r="NHI31" s="55"/>
      <c r="NHJ31" s="53"/>
      <c r="NHN31" s="28"/>
      <c r="NHP31" s="55"/>
      <c r="NHQ31" s="53"/>
      <c r="NHU31" s="28"/>
      <c r="NHW31" s="55"/>
      <c r="NHX31" s="53"/>
      <c r="NIB31" s="28"/>
      <c r="NID31" s="55"/>
      <c r="NIE31" s="53"/>
      <c r="NII31" s="28"/>
      <c r="NIK31" s="55"/>
      <c r="NIL31" s="53"/>
      <c r="NIP31" s="28"/>
      <c r="NIR31" s="55"/>
      <c r="NIS31" s="53"/>
      <c r="NIW31" s="28"/>
      <c r="NIY31" s="55"/>
      <c r="NIZ31" s="53"/>
      <c r="NJD31" s="28"/>
      <c r="NJF31" s="55"/>
      <c r="NJG31" s="53"/>
      <c r="NJK31" s="28"/>
      <c r="NJM31" s="55"/>
      <c r="NJN31" s="53"/>
      <c r="NJR31" s="28"/>
      <c r="NJT31" s="55"/>
      <c r="NJU31" s="53"/>
      <c r="NJY31" s="28"/>
      <c r="NKA31" s="55"/>
      <c r="NKB31" s="53"/>
      <c r="NKF31" s="28"/>
      <c r="NKH31" s="55"/>
      <c r="NKI31" s="53"/>
      <c r="NKM31" s="28"/>
      <c r="NKO31" s="55"/>
      <c r="NKP31" s="53"/>
      <c r="NKT31" s="28"/>
      <c r="NKV31" s="55"/>
      <c r="NKW31" s="53"/>
      <c r="NLA31" s="28"/>
      <c r="NLC31" s="55"/>
      <c r="NLD31" s="53"/>
      <c r="NLH31" s="28"/>
      <c r="NLJ31" s="55"/>
      <c r="NLK31" s="53"/>
      <c r="NLO31" s="28"/>
      <c r="NLQ31" s="55"/>
      <c r="NLR31" s="53"/>
      <c r="NLV31" s="28"/>
      <c r="NLX31" s="55"/>
      <c r="NLY31" s="53"/>
      <c r="NMC31" s="28"/>
      <c r="NME31" s="55"/>
      <c r="NMF31" s="53"/>
      <c r="NMJ31" s="28"/>
      <c r="NML31" s="55"/>
      <c r="NMM31" s="53"/>
      <c r="NMQ31" s="28"/>
      <c r="NMS31" s="55"/>
      <c r="NMT31" s="53"/>
      <c r="NMX31" s="28"/>
      <c r="NMZ31" s="55"/>
      <c r="NNA31" s="53"/>
      <c r="NNE31" s="28"/>
      <c r="NNG31" s="55"/>
      <c r="NNH31" s="53"/>
      <c r="NNL31" s="28"/>
      <c r="NNN31" s="55"/>
      <c r="NNO31" s="53"/>
      <c r="NNS31" s="28"/>
      <c r="NNU31" s="55"/>
      <c r="NNV31" s="53"/>
      <c r="NNZ31" s="28"/>
      <c r="NOB31" s="55"/>
      <c r="NOC31" s="53"/>
      <c r="NOG31" s="28"/>
      <c r="NOI31" s="55"/>
      <c r="NOJ31" s="53"/>
      <c r="NON31" s="28"/>
      <c r="NOP31" s="55"/>
      <c r="NOQ31" s="53"/>
      <c r="NOU31" s="28"/>
      <c r="NOW31" s="55"/>
      <c r="NOX31" s="53"/>
      <c r="NPB31" s="28"/>
      <c r="NPD31" s="55"/>
      <c r="NPE31" s="53"/>
      <c r="NPI31" s="28"/>
      <c r="NPK31" s="55"/>
      <c r="NPL31" s="53"/>
      <c r="NPP31" s="28"/>
      <c r="NPR31" s="55"/>
      <c r="NPS31" s="53"/>
      <c r="NPW31" s="28"/>
      <c r="NPY31" s="55"/>
      <c r="NPZ31" s="53"/>
      <c r="NQD31" s="28"/>
      <c r="NQF31" s="55"/>
      <c r="NQG31" s="53"/>
      <c r="NQK31" s="28"/>
      <c r="NQM31" s="55"/>
      <c r="NQN31" s="53"/>
      <c r="NQR31" s="28"/>
      <c r="NQT31" s="55"/>
      <c r="NQU31" s="53"/>
      <c r="NQY31" s="28"/>
      <c r="NRA31" s="55"/>
      <c r="NRB31" s="53"/>
      <c r="NRF31" s="28"/>
      <c r="NRH31" s="55"/>
      <c r="NRI31" s="53"/>
      <c r="NRM31" s="28"/>
      <c r="NRO31" s="55"/>
      <c r="NRP31" s="53"/>
      <c r="NRT31" s="28"/>
      <c r="NRV31" s="55"/>
      <c r="NRW31" s="53"/>
      <c r="NSA31" s="28"/>
      <c r="NSC31" s="55"/>
      <c r="NSD31" s="53"/>
      <c r="NSH31" s="28"/>
      <c r="NSJ31" s="55"/>
      <c r="NSK31" s="53"/>
      <c r="NSO31" s="28"/>
      <c r="NSQ31" s="55"/>
      <c r="NSR31" s="53"/>
      <c r="NSV31" s="28"/>
      <c r="NSX31" s="55"/>
      <c r="NSY31" s="53"/>
      <c r="NTC31" s="28"/>
      <c r="NTE31" s="55"/>
      <c r="NTF31" s="53"/>
      <c r="NTJ31" s="28"/>
      <c r="NTL31" s="55"/>
      <c r="NTM31" s="53"/>
      <c r="NTQ31" s="28"/>
      <c r="NTS31" s="55"/>
      <c r="NTT31" s="53"/>
      <c r="NTX31" s="28"/>
      <c r="NTZ31" s="55"/>
      <c r="NUA31" s="53"/>
      <c r="NUE31" s="28"/>
      <c r="NUG31" s="55"/>
      <c r="NUH31" s="53"/>
      <c r="NUL31" s="28"/>
      <c r="NUN31" s="55"/>
      <c r="NUO31" s="53"/>
      <c r="NUS31" s="28"/>
      <c r="NUU31" s="55"/>
      <c r="NUV31" s="53"/>
      <c r="NUZ31" s="28"/>
      <c r="NVB31" s="55"/>
      <c r="NVC31" s="53"/>
      <c r="NVG31" s="28"/>
      <c r="NVI31" s="55"/>
      <c r="NVJ31" s="53"/>
      <c r="NVN31" s="28"/>
      <c r="NVP31" s="55"/>
      <c r="NVQ31" s="53"/>
      <c r="NVU31" s="28"/>
      <c r="NVW31" s="55"/>
      <c r="NVX31" s="53"/>
      <c r="NWB31" s="28"/>
      <c r="NWD31" s="55"/>
      <c r="NWE31" s="53"/>
      <c r="NWI31" s="28"/>
      <c r="NWK31" s="55"/>
      <c r="NWL31" s="53"/>
      <c r="NWP31" s="28"/>
      <c r="NWR31" s="55"/>
      <c r="NWS31" s="53"/>
      <c r="NWW31" s="28"/>
      <c r="NWY31" s="55"/>
      <c r="NWZ31" s="53"/>
      <c r="NXD31" s="28"/>
      <c r="NXF31" s="55"/>
      <c r="NXG31" s="53"/>
      <c r="NXK31" s="28"/>
      <c r="NXM31" s="55"/>
      <c r="NXN31" s="53"/>
      <c r="NXR31" s="28"/>
      <c r="NXT31" s="55"/>
      <c r="NXU31" s="53"/>
      <c r="NXY31" s="28"/>
      <c r="NYA31" s="55"/>
      <c r="NYB31" s="53"/>
      <c r="NYF31" s="28"/>
      <c r="NYH31" s="55"/>
      <c r="NYI31" s="53"/>
      <c r="NYM31" s="28"/>
      <c r="NYO31" s="55"/>
      <c r="NYP31" s="53"/>
      <c r="NYT31" s="28"/>
      <c r="NYV31" s="55"/>
      <c r="NYW31" s="53"/>
      <c r="NZA31" s="28"/>
      <c r="NZC31" s="55"/>
      <c r="NZD31" s="53"/>
      <c r="NZH31" s="28"/>
      <c r="NZJ31" s="55"/>
      <c r="NZK31" s="53"/>
      <c r="NZO31" s="28"/>
      <c r="NZQ31" s="55"/>
      <c r="NZR31" s="53"/>
      <c r="NZV31" s="28"/>
      <c r="NZX31" s="55"/>
      <c r="NZY31" s="53"/>
      <c r="OAC31" s="28"/>
      <c r="OAE31" s="55"/>
      <c r="OAF31" s="53"/>
      <c r="OAJ31" s="28"/>
      <c r="OAL31" s="55"/>
      <c r="OAM31" s="53"/>
      <c r="OAQ31" s="28"/>
      <c r="OAS31" s="55"/>
      <c r="OAT31" s="53"/>
      <c r="OAX31" s="28"/>
      <c r="OAZ31" s="55"/>
      <c r="OBA31" s="53"/>
      <c r="OBE31" s="28"/>
      <c r="OBG31" s="55"/>
      <c r="OBH31" s="53"/>
      <c r="OBL31" s="28"/>
      <c r="OBN31" s="55"/>
      <c r="OBO31" s="53"/>
      <c r="OBS31" s="28"/>
      <c r="OBU31" s="55"/>
      <c r="OBV31" s="53"/>
      <c r="OBZ31" s="28"/>
      <c r="OCB31" s="55"/>
      <c r="OCC31" s="53"/>
      <c r="OCG31" s="28"/>
      <c r="OCI31" s="55"/>
      <c r="OCJ31" s="53"/>
      <c r="OCN31" s="28"/>
      <c r="OCP31" s="55"/>
      <c r="OCQ31" s="53"/>
      <c r="OCU31" s="28"/>
      <c r="OCW31" s="55"/>
      <c r="OCX31" s="53"/>
      <c r="ODB31" s="28"/>
      <c r="ODD31" s="55"/>
      <c r="ODE31" s="53"/>
      <c r="ODI31" s="28"/>
      <c r="ODK31" s="55"/>
      <c r="ODL31" s="53"/>
      <c r="ODP31" s="28"/>
      <c r="ODR31" s="55"/>
      <c r="ODS31" s="53"/>
      <c r="ODW31" s="28"/>
      <c r="ODY31" s="55"/>
      <c r="ODZ31" s="53"/>
      <c r="OED31" s="28"/>
      <c r="OEF31" s="55"/>
      <c r="OEG31" s="53"/>
      <c r="OEK31" s="28"/>
      <c r="OEM31" s="55"/>
      <c r="OEN31" s="53"/>
      <c r="OER31" s="28"/>
      <c r="OET31" s="55"/>
      <c r="OEU31" s="53"/>
      <c r="OEY31" s="28"/>
      <c r="OFA31" s="55"/>
      <c r="OFB31" s="53"/>
      <c r="OFF31" s="28"/>
      <c r="OFH31" s="55"/>
      <c r="OFI31" s="53"/>
      <c r="OFM31" s="28"/>
      <c r="OFO31" s="55"/>
      <c r="OFP31" s="53"/>
      <c r="OFT31" s="28"/>
      <c r="OFV31" s="55"/>
      <c r="OFW31" s="53"/>
      <c r="OGA31" s="28"/>
      <c r="OGC31" s="55"/>
      <c r="OGD31" s="53"/>
      <c r="OGH31" s="28"/>
      <c r="OGJ31" s="55"/>
      <c r="OGK31" s="53"/>
      <c r="OGO31" s="28"/>
      <c r="OGQ31" s="55"/>
      <c r="OGR31" s="53"/>
      <c r="OGV31" s="28"/>
      <c r="OGX31" s="55"/>
      <c r="OGY31" s="53"/>
      <c r="OHC31" s="28"/>
      <c r="OHE31" s="55"/>
      <c r="OHF31" s="53"/>
      <c r="OHJ31" s="28"/>
      <c r="OHL31" s="55"/>
      <c r="OHM31" s="53"/>
      <c r="OHQ31" s="28"/>
      <c r="OHS31" s="55"/>
      <c r="OHT31" s="53"/>
      <c r="OHX31" s="28"/>
      <c r="OHZ31" s="55"/>
      <c r="OIA31" s="53"/>
      <c r="OIE31" s="28"/>
      <c r="OIG31" s="55"/>
      <c r="OIH31" s="53"/>
      <c r="OIL31" s="28"/>
      <c r="OIN31" s="55"/>
      <c r="OIO31" s="53"/>
      <c r="OIS31" s="28"/>
      <c r="OIU31" s="55"/>
      <c r="OIV31" s="53"/>
      <c r="OIZ31" s="28"/>
      <c r="OJB31" s="55"/>
      <c r="OJC31" s="53"/>
      <c r="OJG31" s="28"/>
      <c r="OJI31" s="55"/>
      <c r="OJJ31" s="53"/>
      <c r="OJN31" s="28"/>
      <c r="OJP31" s="55"/>
      <c r="OJQ31" s="53"/>
      <c r="OJU31" s="28"/>
      <c r="OJW31" s="55"/>
      <c r="OJX31" s="53"/>
      <c r="OKB31" s="28"/>
      <c r="OKD31" s="55"/>
      <c r="OKE31" s="53"/>
      <c r="OKI31" s="28"/>
      <c r="OKK31" s="55"/>
      <c r="OKL31" s="53"/>
      <c r="OKP31" s="28"/>
      <c r="OKR31" s="55"/>
      <c r="OKS31" s="53"/>
      <c r="OKW31" s="28"/>
      <c r="OKY31" s="55"/>
      <c r="OKZ31" s="53"/>
      <c r="OLD31" s="28"/>
      <c r="OLF31" s="55"/>
      <c r="OLG31" s="53"/>
      <c r="OLK31" s="28"/>
      <c r="OLM31" s="55"/>
      <c r="OLN31" s="53"/>
      <c r="OLR31" s="28"/>
      <c r="OLT31" s="55"/>
      <c r="OLU31" s="53"/>
      <c r="OLY31" s="28"/>
      <c r="OMA31" s="55"/>
      <c r="OMB31" s="53"/>
      <c r="OMF31" s="28"/>
      <c r="OMH31" s="55"/>
      <c r="OMI31" s="53"/>
      <c r="OMM31" s="28"/>
      <c r="OMO31" s="55"/>
      <c r="OMP31" s="53"/>
      <c r="OMT31" s="28"/>
      <c r="OMV31" s="55"/>
      <c r="OMW31" s="53"/>
      <c r="ONA31" s="28"/>
      <c r="ONC31" s="55"/>
      <c r="OND31" s="53"/>
      <c r="ONH31" s="28"/>
      <c r="ONJ31" s="55"/>
      <c r="ONK31" s="53"/>
      <c r="ONO31" s="28"/>
      <c r="ONQ31" s="55"/>
      <c r="ONR31" s="53"/>
      <c r="ONV31" s="28"/>
      <c r="ONX31" s="55"/>
      <c r="ONY31" s="53"/>
      <c r="OOC31" s="28"/>
      <c r="OOE31" s="55"/>
      <c r="OOF31" s="53"/>
      <c r="OOJ31" s="28"/>
      <c r="OOL31" s="55"/>
      <c r="OOM31" s="53"/>
      <c r="OOQ31" s="28"/>
      <c r="OOS31" s="55"/>
      <c r="OOT31" s="53"/>
      <c r="OOX31" s="28"/>
      <c r="OOZ31" s="55"/>
      <c r="OPA31" s="53"/>
      <c r="OPE31" s="28"/>
      <c r="OPG31" s="55"/>
      <c r="OPH31" s="53"/>
      <c r="OPL31" s="28"/>
      <c r="OPN31" s="55"/>
      <c r="OPO31" s="53"/>
      <c r="OPS31" s="28"/>
      <c r="OPU31" s="55"/>
      <c r="OPV31" s="53"/>
      <c r="OPZ31" s="28"/>
      <c r="OQB31" s="55"/>
      <c r="OQC31" s="53"/>
      <c r="OQG31" s="28"/>
      <c r="OQI31" s="55"/>
      <c r="OQJ31" s="53"/>
      <c r="OQN31" s="28"/>
      <c r="OQP31" s="55"/>
      <c r="OQQ31" s="53"/>
      <c r="OQU31" s="28"/>
      <c r="OQW31" s="55"/>
      <c r="OQX31" s="53"/>
      <c r="ORB31" s="28"/>
      <c r="ORD31" s="55"/>
      <c r="ORE31" s="53"/>
      <c r="ORI31" s="28"/>
      <c r="ORK31" s="55"/>
      <c r="ORL31" s="53"/>
      <c r="ORP31" s="28"/>
      <c r="ORR31" s="55"/>
      <c r="ORS31" s="53"/>
      <c r="ORW31" s="28"/>
      <c r="ORY31" s="55"/>
      <c r="ORZ31" s="53"/>
      <c r="OSD31" s="28"/>
      <c r="OSF31" s="55"/>
      <c r="OSG31" s="53"/>
      <c r="OSK31" s="28"/>
      <c r="OSM31" s="55"/>
      <c r="OSN31" s="53"/>
      <c r="OSR31" s="28"/>
      <c r="OST31" s="55"/>
      <c r="OSU31" s="53"/>
      <c r="OSY31" s="28"/>
      <c r="OTA31" s="55"/>
      <c r="OTB31" s="53"/>
      <c r="OTF31" s="28"/>
      <c r="OTH31" s="55"/>
      <c r="OTI31" s="53"/>
      <c r="OTM31" s="28"/>
      <c r="OTO31" s="55"/>
      <c r="OTP31" s="53"/>
      <c r="OTT31" s="28"/>
      <c r="OTV31" s="55"/>
      <c r="OTW31" s="53"/>
      <c r="OUA31" s="28"/>
      <c r="OUC31" s="55"/>
      <c r="OUD31" s="53"/>
      <c r="OUH31" s="28"/>
      <c r="OUJ31" s="55"/>
      <c r="OUK31" s="53"/>
      <c r="OUO31" s="28"/>
      <c r="OUQ31" s="55"/>
      <c r="OUR31" s="53"/>
      <c r="OUV31" s="28"/>
      <c r="OUX31" s="55"/>
      <c r="OUY31" s="53"/>
      <c r="OVC31" s="28"/>
      <c r="OVE31" s="55"/>
      <c r="OVF31" s="53"/>
      <c r="OVJ31" s="28"/>
      <c r="OVL31" s="55"/>
      <c r="OVM31" s="53"/>
      <c r="OVQ31" s="28"/>
      <c r="OVS31" s="55"/>
      <c r="OVT31" s="53"/>
      <c r="OVX31" s="28"/>
      <c r="OVZ31" s="55"/>
      <c r="OWA31" s="53"/>
      <c r="OWE31" s="28"/>
      <c r="OWG31" s="55"/>
      <c r="OWH31" s="53"/>
      <c r="OWL31" s="28"/>
      <c r="OWN31" s="55"/>
      <c r="OWO31" s="53"/>
      <c r="OWS31" s="28"/>
      <c r="OWU31" s="55"/>
      <c r="OWV31" s="53"/>
      <c r="OWZ31" s="28"/>
      <c r="OXB31" s="55"/>
      <c r="OXC31" s="53"/>
      <c r="OXG31" s="28"/>
      <c r="OXI31" s="55"/>
      <c r="OXJ31" s="53"/>
      <c r="OXN31" s="28"/>
      <c r="OXP31" s="55"/>
      <c r="OXQ31" s="53"/>
      <c r="OXU31" s="28"/>
      <c r="OXW31" s="55"/>
      <c r="OXX31" s="53"/>
      <c r="OYB31" s="28"/>
      <c r="OYD31" s="55"/>
      <c r="OYE31" s="53"/>
      <c r="OYI31" s="28"/>
      <c r="OYK31" s="55"/>
      <c r="OYL31" s="53"/>
      <c r="OYP31" s="28"/>
      <c r="OYR31" s="55"/>
      <c r="OYS31" s="53"/>
      <c r="OYW31" s="28"/>
      <c r="OYY31" s="55"/>
      <c r="OYZ31" s="53"/>
      <c r="OZD31" s="28"/>
      <c r="OZF31" s="55"/>
      <c r="OZG31" s="53"/>
      <c r="OZK31" s="28"/>
      <c r="OZM31" s="55"/>
      <c r="OZN31" s="53"/>
      <c r="OZR31" s="28"/>
      <c r="OZT31" s="55"/>
      <c r="OZU31" s="53"/>
      <c r="OZY31" s="28"/>
      <c r="PAA31" s="55"/>
      <c r="PAB31" s="53"/>
      <c r="PAF31" s="28"/>
      <c r="PAH31" s="55"/>
      <c r="PAI31" s="53"/>
      <c r="PAM31" s="28"/>
      <c r="PAO31" s="55"/>
      <c r="PAP31" s="53"/>
      <c r="PAT31" s="28"/>
      <c r="PAV31" s="55"/>
      <c r="PAW31" s="53"/>
      <c r="PBA31" s="28"/>
      <c r="PBC31" s="55"/>
      <c r="PBD31" s="53"/>
      <c r="PBH31" s="28"/>
      <c r="PBJ31" s="55"/>
      <c r="PBK31" s="53"/>
      <c r="PBO31" s="28"/>
      <c r="PBQ31" s="55"/>
      <c r="PBR31" s="53"/>
      <c r="PBV31" s="28"/>
      <c r="PBX31" s="55"/>
      <c r="PBY31" s="53"/>
      <c r="PCC31" s="28"/>
      <c r="PCE31" s="55"/>
      <c r="PCF31" s="53"/>
      <c r="PCJ31" s="28"/>
      <c r="PCL31" s="55"/>
      <c r="PCM31" s="53"/>
      <c r="PCQ31" s="28"/>
      <c r="PCS31" s="55"/>
      <c r="PCT31" s="53"/>
      <c r="PCX31" s="28"/>
      <c r="PCZ31" s="55"/>
      <c r="PDA31" s="53"/>
      <c r="PDE31" s="28"/>
      <c r="PDG31" s="55"/>
      <c r="PDH31" s="53"/>
      <c r="PDL31" s="28"/>
      <c r="PDN31" s="55"/>
      <c r="PDO31" s="53"/>
      <c r="PDS31" s="28"/>
      <c r="PDU31" s="55"/>
      <c r="PDV31" s="53"/>
      <c r="PDZ31" s="28"/>
      <c r="PEB31" s="55"/>
      <c r="PEC31" s="53"/>
      <c r="PEG31" s="28"/>
      <c r="PEI31" s="55"/>
      <c r="PEJ31" s="53"/>
      <c r="PEN31" s="28"/>
      <c r="PEP31" s="55"/>
      <c r="PEQ31" s="53"/>
      <c r="PEU31" s="28"/>
      <c r="PEW31" s="55"/>
      <c r="PEX31" s="53"/>
      <c r="PFB31" s="28"/>
      <c r="PFD31" s="55"/>
      <c r="PFE31" s="53"/>
      <c r="PFI31" s="28"/>
      <c r="PFK31" s="55"/>
      <c r="PFL31" s="53"/>
      <c r="PFP31" s="28"/>
      <c r="PFR31" s="55"/>
      <c r="PFS31" s="53"/>
      <c r="PFW31" s="28"/>
      <c r="PFY31" s="55"/>
      <c r="PFZ31" s="53"/>
      <c r="PGD31" s="28"/>
      <c r="PGF31" s="55"/>
      <c r="PGG31" s="53"/>
      <c r="PGK31" s="28"/>
      <c r="PGM31" s="55"/>
      <c r="PGN31" s="53"/>
      <c r="PGR31" s="28"/>
      <c r="PGT31" s="55"/>
      <c r="PGU31" s="53"/>
      <c r="PGY31" s="28"/>
      <c r="PHA31" s="55"/>
      <c r="PHB31" s="53"/>
      <c r="PHF31" s="28"/>
      <c r="PHH31" s="55"/>
      <c r="PHI31" s="53"/>
      <c r="PHM31" s="28"/>
      <c r="PHO31" s="55"/>
      <c r="PHP31" s="53"/>
      <c r="PHT31" s="28"/>
      <c r="PHV31" s="55"/>
      <c r="PHW31" s="53"/>
      <c r="PIA31" s="28"/>
      <c r="PIC31" s="55"/>
      <c r="PID31" s="53"/>
      <c r="PIH31" s="28"/>
      <c r="PIJ31" s="55"/>
      <c r="PIK31" s="53"/>
      <c r="PIO31" s="28"/>
      <c r="PIQ31" s="55"/>
      <c r="PIR31" s="53"/>
      <c r="PIV31" s="28"/>
      <c r="PIX31" s="55"/>
      <c r="PIY31" s="53"/>
      <c r="PJC31" s="28"/>
      <c r="PJE31" s="55"/>
      <c r="PJF31" s="53"/>
      <c r="PJJ31" s="28"/>
      <c r="PJL31" s="55"/>
      <c r="PJM31" s="53"/>
      <c r="PJQ31" s="28"/>
      <c r="PJS31" s="55"/>
      <c r="PJT31" s="53"/>
      <c r="PJX31" s="28"/>
      <c r="PJZ31" s="55"/>
      <c r="PKA31" s="53"/>
      <c r="PKE31" s="28"/>
      <c r="PKG31" s="55"/>
      <c r="PKH31" s="53"/>
      <c r="PKL31" s="28"/>
      <c r="PKN31" s="55"/>
      <c r="PKO31" s="53"/>
      <c r="PKS31" s="28"/>
      <c r="PKU31" s="55"/>
      <c r="PKV31" s="53"/>
      <c r="PKZ31" s="28"/>
      <c r="PLB31" s="55"/>
      <c r="PLC31" s="53"/>
      <c r="PLG31" s="28"/>
      <c r="PLI31" s="55"/>
      <c r="PLJ31" s="53"/>
      <c r="PLN31" s="28"/>
      <c r="PLP31" s="55"/>
      <c r="PLQ31" s="53"/>
      <c r="PLU31" s="28"/>
      <c r="PLW31" s="55"/>
      <c r="PLX31" s="53"/>
      <c r="PMB31" s="28"/>
      <c r="PMD31" s="55"/>
      <c r="PME31" s="53"/>
      <c r="PMI31" s="28"/>
      <c r="PMK31" s="55"/>
      <c r="PML31" s="53"/>
      <c r="PMP31" s="28"/>
      <c r="PMR31" s="55"/>
      <c r="PMS31" s="53"/>
      <c r="PMW31" s="28"/>
      <c r="PMY31" s="55"/>
      <c r="PMZ31" s="53"/>
      <c r="PND31" s="28"/>
      <c r="PNF31" s="55"/>
      <c r="PNG31" s="53"/>
      <c r="PNK31" s="28"/>
      <c r="PNM31" s="55"/>
      <c r="PNN31" s="53"/>
      <c r="PNR31" s="28"/>
      <c r="PNT31" s="55"/>
      <c r="PNU31" s="53"/>
      <c r="PNY31" s="28"/>
      <c r="POA31" s="55"/>
      <c r="POB31" s="53"/>
      <c r="POF31" s="28"/>
      <c r="POH31" s="55"/>
      <c r="POI31" s="53"/>
      <c r="POM31" s="28"/>
      <c r="POO31" s="55"/>
      <c r="POP31" s="53"/>
      <c r="POT31" s="28"/>
      <c r="POV31" s="55"/>
      <c r="POW31" s="53"/>
      <c r="PPA31" s="28"/>
      <c r="PPC31" s="55"/>
      <c r="PPD31" s="53"/>
      <c r="PPH31" s="28"/>
      <c r="PPJ31" s="55"/>
      <c r="PPK31" s="53"/>
      <c r="PPO31" s="28"/>
      <c r="PPQ31" s="55"/>
      <c r="PPR31" s="53"/>
      <c r="PPV31" s="28"/>
      <c r="PPX31" s="55"/>
      <c r="PPY31" s="53"/>
      <c r="PQC31" s="28"/>
      <c r="PQE31" s="55"/>
      <c r="PQF31" s="53"/>
      <c r="PQJ31" s="28"/>
      <c r="PQL31" s="55"/>
      <c r="PQM31" s="53"/>
      <c r="PQQ31" s="28"/>
      <c r="PQS31" s="55"/>
      <c r="PQT31" s="53"/>
      <c r="PQX31" s="28"/>
      <c r="PQZ31" s="55"/>
      <c r="PRA31" s="53"/>
      <c r="PRE31" s="28"/>
      <c r="PRG31" s="55"/>
      <c r="PRH31" s="53"/>
      <c r="PRL31" s="28"/>
      <c r="PRN31" s="55"/>
      <c r="PRO31" s="53"/>
      <c r="PRS31" s="28"/>
      <c r="PRU31" s="55"/>
      <c r="PRV31" s="53"/>
      <c r="PRZ31" s="28"/>
      <c r="PSB31" s="55"/>
      <c r="PSC31" s="53"/>
      <c r="PSG31" s="28"/>
      <c r="PSI31" s="55"/>
      <c r="PSJ31" s="53"/>
      <c r="PSN31" s="28"/>
      <c r="PSP31" s="55"/>
      <c r="PSQ31" s="53"/>
      <c r="PSU31" s="28"/>
      <c r="PSW31" s="55"/>
      <c r="PSX31" s="53"/>
      <c r="PTB31" s="28"/>
      <c r="PTD31" s="55"/>
      <c r="PTE31" s="53"/>
      <c r="PTI31" s="28"/>
      <c r="PTK31" s="55"/>
      <c r="PTL31" s="53"/>
      <c r="PTP31" s="28"/>
      <c r="PTR31" s="55"/>
      <c r="PTS31" s="53"/>
      <c r="PTW31" s="28"/>
      <c r="PTY31" s="55"/>
      <c r="PTZ31" s="53"/>
      <c r="PUD31" s="28"/>
      <c r="PUF31" s="55"/>
      <c r="PUG31" s="53"/>
      <c r="PUK31" s="28"/>
      <c r="PUM31" s="55"/>
      <c r="PUN31" s="53"/>
      <c r="PUR31" s="28"/>
      <c r="PUT31" s="55"/>
      <c r="PUU31" s="53"/>
      <c r="PUY31" s="28"/>
      <c r="PVA31" s="55"/>
      <c r="PVB31" s="53"/>
      <c r="PVF31" s="28"/>
      <c r="PVH31" s="55"/>
      <c r="PVI31" s="53"/>
      <c r="PVM31" s="28"/>
      <c r="PVO31" s="55"/>
      <c r="PVP31" s="53"/>
      <c r="PVT31" s="28"/>
      <c r="PVV31" s="55"/>
      <c r="PVW31" s="53"/>
      <c r="PWA31" s="28"/>
      <c r="PWC31" s="55"/>
      <c r="PWD31" s="53"/>
      <c r="PWH31" s="28"/>
      <c r="PWJ31" s="55"/>
      <c r="PWK31" s="53"/>
      <c r="PWO31" s="28"/>
      <c r="PWQ31" s="55"/>
      <c r="PWR31" s="53"/>
      <c r="PWV31" s="28"/>
      <c r="PWX31" s="55"/>
      <c r="PWY31" s="53"/>
      <c r="PXC31" s="28"/>
      <c r="PXE31" s="55"/>
      <c r="PXF31" s="53"/>
      <c r="PXJ31" s="28"/>
      <c r="PXL31" s="55"/>
      <c r="PXM31" s="53"/>
      <c r="PXQ31" s="28"/>
      <c r="PXS31" s="55"/>
      <c r="PXT31" s="53"/>
      <c r="PXX31" s="28"/>
      <c r="PXZ31" s="55"/>
      <c r="PYA31" s="53"/>
      <c r="PYE31" s="28"/>
      <c r="PYG31" s="55"/>
      <c r="PYH31" s="53"/>
      <c r="PYL31" s="28"/>
      <c r="PYN31" s="55"/>
      <c r="PYO31" s="53"/>
      <c r="PYS31" s="28"/>
      <c r="PYU31" s="55"/>
      <c r="PYV31" s="53"/>
      <c r="PYZ31" s="28"/>
      <c r="PZB31" s="55"/>
      <c r="PZC31" s="53"/>
      <c r="PZG31" s="28"/>
      <c r="PZI31" s="55"/>
      <c r="PZJ31" s="53"/>
      <c r="PZN31" s="28"/>
      <c r="PZP31" s="55"/>
      <c r="PZQ31" s="53"/>
      <c r="PZU31" s="28"/>
      <c r="PZW31" s="55"/>
      <c r="PZX31" s="53"/>
      <c r="QAB31" s="28"/>
      <c r="QAD31" s="55"/>
      <c r="QAE31" s="53"/>
      <c r="QAI31" s="28"/>
      <c r="QAK31" s="55"/>
      <c r="QAL31" s="53"/>
      <c r="QAP31" s="28"/>
      <c r="QAR31" s="55"/>
      <c r="QAS31" s="53"/>
      <c r="QAW31" s="28"/>
      <c r="QAY31" s="55"/>
      <c r="QAZ31" s="53"/>
      <c r="QBD31" s="28"/>
      <c r="QBF31" s="55"/>
      <c r="QBG31" s="53"/>
      <c r="QBK31" s="28"/>
      <c r="QBM31" s="55"/>
      <c r="QBN31" s="53"/>
      <c r="QBR31" s="28"/>
      <c r="QBT31" s="55"/>
      <c r="QBU31" s="53"/>
      <c r="QBY31" s="28"/>
      <c r="QCA31" s="55"/>
      <c r="QCB31" s="53"/>
      <c r="QCF31" s="28"/>
      <c r="QCH31" s="55"/>
      <c r="QCI31" s="53"/>
      <c r="QCM31" s="28"/>
      <c r="QCO31" s="55"/>
      <c r="QCP31" s="53"/>
      <c r="QCT31" s="28"/>
      <c r="QCV31" s="55"/>
      <c r="QCW31" s="53"/>
      <c r="QDA31" s="28"/>
      <c r="QDC31" s="55"/>
      <c r="QDD31" s="53"/>
      <c r="QDH31" s="28"/>
      <c r="QDJ31" s="55"/>
      <c r="QDK31" s="53"/>
      <c r="QDO31" s="28"/>
      <c r="QDQ31" s="55"/>
      <c r="QDR31" s="53"/>
      <c r="QDV31" s="28"/>
      <c r="QDX31" s="55"/>
      <c r="QDY31" s="53"/>
      <c r="QEC31" s="28"/>
      <c r="QEE31" s="55"/>
      <c r="QEF31" s="53"/>
      <c r="QEJ31" s="28"/>
      <c r="QEL31" s="55"/>
      <c r="QEM31" s="53"/>
      <c r="QEQ31" s="28"/>
      <c r="QES31" s="55"/>
      <c r="QET31" s="53"/>
      <c r="QEX31" s="28"/>
      <c r="QEZ31" s="55"/>
      <c r="QFA31" s="53"/>
      <c r="QFE31" s="28"/>
      <c r="QFG31" s="55"/>
      <c r="QFH31" s="53"/>
      <c r="QFL31" s="28"/>
      <c r="QFN31" s="55"/>
      <c r="QFO31" s="53"/>
      <c r="QFS31" s="28"/>
      <c r="QFU31" s="55"/>
      <c r="QFV31" s="53"/>
      <c r="QFZ31" s="28"/>
      <c r="QGB31" s="55"/>
      <c r="QGC31" s="53"/>
      <c r="QGG31" s="28"/>
      <c r="QGI31" s="55"/>
      <c r="QGJ31" s="53"/>
      <c r="QGN31" s="28"/>
      <c r="QGP31" s="55"/>
      <c r="QGQ31" s="53"/>
      <c r="QGU31" s="28"/>
      <c r="QGW31" s="55"/>
      <c r="QGX31" s="53"/>
      <c r="QHB31" s="28"/>
      <c r="QHD31" s="55"/>
      <c r="QHE31" s="53"/>
      <c r="QHI31" s="28"/>
      <c r="QHK31" s="55"/>
      <c r="QHL31" s="53"/>
      <c r="QHP31" s="28"/>
      <c r="QHR31" s="55"/>
      <c r="QHS31" s="53"/>
      <c r="QHW31" s="28"/>
      <c r="QHY31" s="55"/>
      <c r="QHZ31" s="53"/>
      <c r="QID31" s="28"/>
      <c r="QIF31" s="55"/>
      <c r="QIG31" s="53"/>
      <c r="QIK31" s="28"/>
      <c r="QIM31" s="55"/>
      <c r="QIN31" s="53"/>
      <c r="QIR31" s="28"/>
      <c r="QIT31" s="55"/>
      <c r="QIU31" s="53"/>
      <c r="QIY31" s="28"/>
      <c r="QJA31" s="55"/>
      <c r="QJB31" s="53"/>
      <c r="QJF31" s="28"/>
      <c r="QJH31" s="55"/>
      <c r="QJI31" s="53"/>
      <c r="QJM31" s="28"/>
      <c r="QJO31" s="55"/>
      <c r="QJP31" s="53"/>
      <c r="QJT31" s="28"/>
      <c r="QJV31" s="55"/>
      <c r="QJW31" s="53"/>
      <c r="QKA31" s="28"/>
      <c r="QKC31" s="55"/>
      <c r="QKD31" s="53"/>
      <c r="QKH31" s="28"/>
      <c r="QKJ31" s="55"/>
      <c r="QKK31" s="53"/>
      <c r="QKO31" s="28"/>
      <c r="QKQ31" s="55"/>
      <c r="QKR31" s="53"/>
      <c r="QKV31" s="28"/>
      <c r="QKX31" s="55"/>
      <c r="QKY31" s="53"/>
      <c r="QLC31" s="28"/>
      <c r="QLE31" s="55"/>
      <c r="QLF31" s="53"/>
      <c r="QLJ31" s="28"/>
      <c r="QLL31" s="55"/>
      <c r="QLM31" s="53"/>
      <c r="QLQ31" s="28"/>
      <c r="QLS31" s="55"/>
      <c r="QLT31" s="53"/>
      <c r="QLX31" s="28"/>
      <c r="QLZ31" s="55"/>
      <c r="QMA31" s="53"/>
      <c r="QME31" s="28"/>
      <c r="QMG31" s="55"/>
      <c r="QMH31" s="53"/>
      <c r="QML31" s="28"/>
      <c r="QMN31" s="55"/>
      <c r="QMO31" s="53"/>
      <c r="QMS31" s="28"/>
      <c r="QMU31" s="55"/>
      <c r="QMV31" s="53"/>
      <c r="QMZ31" s="28"/>
      <c r="QNB31" s="55"/>
      <c r="QNC31" s="53"/>
      <c r="QNG31" s="28"/>
      <c r="QNI31" s="55"/>
      <c r="QNJ31" s="53"/>
      <c r="QNN31" s="28"/>
      <c r="QNP31" s="55"/>
      <c r="QNQ31" s="53"/>
      <c r="QNU31" s="28"/>
      <c r="QNW31" s="55"/>
      <c r="QNX31" s="53"/>
      <c r="QOB31" s="28"/>
      <c r="QOD31" s="55"/>
      <c r="QOE31" s="53"/>
      <c r="QOI31" s="28"/>
      <c r="QOK31" s="55"/>
      <c r="QOL31" s="53"/>
      <c r="QOP31" s="28"/>
      <c r="QOR31" s="55"/>
      <c r="QOS31" s="53"/>
      <c r="QOW31" s="28"/>
      <c r="QOY31" s="55"/>
      <c r="QOZ31" s="53"/>
      <c r="QPD31" s="28"/>
      <c r="QPF31" s="55"/>
      <c r="QPG31" s="53"/>
      <c r="QPK31" s="28"/>
      <c r="QPM31" s="55"/>
      <c r="QPN31" s="53"/>
      <c r="QPR31" s="28"/>
      <c r="QPT31" s="55"/>
      <c r="QPU31" s="53"/>
      <c r="QPY31" s="28"/>
      <c r="QQA31" s="55"/>
      <c r="QQB31" s="53"/>
      <c r="QQF31" s="28"/>
      <c r="QQH31" s="55"/>
      <c r="QQI31" s="53"/>
      <c r="QQM31" s="28"/>
      <c r="QQO31" s="55"/>
      <c r="QQP31" s="53"/>
      <c r="QQT31" s="28"/>
      <c r="QQV31" s="55"/>
      <c r="QQW31" s="53"/>
      <c r="QRA31" s="28"/>
      <c r="QRC31" s="55"/>
      <c r="QRD31" s="53"/>
      <c r="QRH31" s="28"/>
      <c r="QRJ31" s="55"/>
      <c r="QRK31" s="53"/>
      <c r="QRO31" s="28"/>
      <c r="QRQ31" s="55"/>
      <c r="QRR31" s="53"/>
      <c r="QRV31" s="28"/>
      <c r="QRX31" s="55"/>
      <c r="QRY31" s="53"/>
      <c r="QSC31" s="28"/>
      <c r="QSE31" s="55"/>
      <c r="QSF31" s="53"/>
      <c r="QSJ31" s="28"/>
      <c r="QSL31" s="55"/>
      <c r="QSM31" s="53"/>
      <c r="QSQ31" s="28"/>
      <c r="QSS31" s="55"/>
      <c r="QST31" s="53"/>
      <c r="QSX31" s="28"/>
      <c r="QSZ31" s="55"/>
      <c r="QTA31" s="53"/>
      <c r="QTE31" s="28"/>
      <c r="QTG31" s="55"/>
      <c r="QTH31" s="53"/>
      <c r="QTL31" s="28"/>
      <c r="QTN31" s="55"/>
      <c r="QTO31" s="53"/>
      <c r="QTS31" s="28"/>
      <c r="QTU31" s="55"/>
      <c r="QTV31" s="53"/>
      <c r="QTZ31" s="28"/>
      <c r="QUB31" s="55"/>
      <c r="QUC31" s="53"/>
      <c r="QUG31" s="28"/>
      <c r="QUI31" s="55"/>
      <c r="QUJ31" s="53"/>
      <c r="QUN31" s="28"/>
      <c r="QUP31" s="55"/>
      <c r="QUQ31" s="53"/>
      <c r="QUU31" s="28"/>
      <c r="QUW31" s="55"/>
      <c r="QUX31" s="53"/>
      <c r="QVB31" s="28"/>
      <c r="QVD31" s="55"/>
      <c r="QVE31" s="53"/>
      <c r="QVI31" s="28"/>
      <c r="QVK31" s="55"/>
      <c r="QVL31" s="53"/>
      <c r="QVP31" s="28"/>
      <c r="QVR31" s="55"/>
      <c r="QVS31" s="53"/>
      <c r="QVW31" s="28"/>
      <c r="QVY31" s="55"/>
      <c r="QVZ31" s="53"/>
      <c r="QWD31" s="28"/>
      <c r="QWF31" s="55"/>
      <c r="QWG31" s="53"/>
      <c r="QWK31" s="28"/>
      <c r="QWM31" s="55"/>
      <c r="QWN31" s="53"/>
      <c r="QWR31" s="28"/>
      <c r="QWT31" s="55"/>
      <c r="QWU31" s="53"/>
      <c r="QWY31" s="28"/>
      <c r="QXA31" s="55"/>
      <c r="QXB31" s="53"/>
      <c r="QXF31" s="28"/>
      <c r="QXH31" s="55"/>
      <c r="QXI31" s="53"/>
      <c r="QXM31" s="28"/>
      <c r="QXO31" s="55"/>
      <c r="QXP31" s="53"/>
      <c r="QXT31" s="28"/>
      <c r="QXV31" s="55"/>
      <c r="QXW31" s="53"/>
      <c r="QYA31" s="28"/>
      <c r="QYC31" s="55"/>
      <c r="QYD31" s="53"/>
      <c r="QYH31" s="28"/>
      <c r="QYJ31" s="55"/>
      <c r="QYK31" s="53"/>
      <c r="QYO31" s="28"/>
      <c r="QYQ31" s="55"/>
      <c r="QYR31" s="53"/>
      <c r="QYV31" s="28"/>
      <c r="QYX31" s="55"/>
      <c r="QYY31" s="53"/>
      <c r="QZC31" s="28"/>
      <c r="QZE31" s="55"/>
      <c r="QZF31" s="53"/>
      <c r="QZJ31" s="28"/>
      <c r="QZL31" s="55"/>
      <c r="QZM31" s="53"/>
      <c r="QZQ31" s="28"/>
      <c r="QZS31" s="55"/>
      <c r="QZT31" s="53"/>
      <c r="QZX31" s="28"/>
      <c r="QZZ31" s="55"/>
      <c r="RAA31" s="53"/>
      <c r="RAE31" s="28"/>
      <c r="RAG31" s="55"/>
      <c r="RAH31" s="53"/>
      <c r="RAL31" s="28"/>
      <c r="RAN31" s="55"/>
      <c r="RAO31" s="53"/>
      <c r="RAS31" s="28"/>
      <c r="RAU31" s="55"/>
      <c r="RAV31" s="53"/>
      <c r="RAZ31" s="28"/>
      <c r="RBB31" s="55"/>
      <c r="RBC31" s="53"/>
      <c r="RBG31" s="28"/>
      <c r="RBI31" s="55"/>
      <c r="RBJ31" s="53"/>
      <c r="RBN31" s="28"/>
      <c r="RBP31" s="55"/>
      <c r="RBQ31" s="53"/>
      <c r="RBU31" s="28"/>
      <c r="RBW31" s="55"/>
      <c r="RBX31" s="53"/>
      <c r="RCB31" s="28"/>
      <c r="RCD31" s="55"/>
      <c r="RCE31" s="53"/>
      <c r="RCI31" s="28"/>
      <c r="RCK31" s="55"/>
      <c r="RCL31" s="53"/>
      <c r="RCP31" s="28"/>
      <c r="RCR31" s="55"/>
      <c r="RCS31" s="53"/>
      <c r="RCW31" s="28"/>
      <c r="RCY31" s="55"/>
      <c r="RCZ31" s="53"/>
      <c r="RDD31" s="28"/>
      <c r="RDF31" s="55"/>
      <c r="RDG31" s="53"/>
      <c r="RDK31" s="28"/>
      <c r="RDM31" s="55"/>
      <c r="RDN31" s="53"/>
      <c r="RDR31" s="28"/>
      <c r="RDT31" s="55"/>
      <c r="RDU31" s="53"/>
      <c r="RDY31" s="28"/>
      <c r="REA31" s="55"/>
      <c r="REB31" s="53"/>
      <c r="REF31" s="28"/>
      <c r="REH31" s="55"/>
      <c r="REI31" s="53"/>
      <c r="REM31" s="28"/>
      <c r="REO31" s="55"/>
      <c r="REP31" s="53"/>
      <c r="RET31" s="28"/>
      <c r="REV31" s="55"/>
      <c r="REW31" s="53"/>
      <c r="RFA31" s="28"/>
      <c r="RFC31" s="55"/>
      <c r="RFD31" s="53"/>
      <c r="RFH31" s="28"/>
      <c r="RFJ31" s="55"/>
      <c r="RFK31" s="53"/>
      <c r="RFO31" s="28"/>
      <c r="RFQ31" s="55"/>
      <c r="RFR31" s="53"/>
      <c r="RFV31" s="28"/>
      <c r="RFX31" s="55"/>
      <c r="RFY31" s="53"/>
      <c r="RGC31" s="28"/>
      <c r="RGE31" s="55"/>
      <c r="RGF31" s="53"/>
      <c r="RGJ31" s="28"/>
      <c r="RGL31" s="55"/>
      <c r="RGM31" s="53"/>
      <c r="RGQ31" s="28"/>
      <c r="RGS31" s="55"/>
      <c r="RGT31" s="53"/>
      <c r="RGX31" s="28"/>
      <c r="RGZ31" s="55"/>
      <c r="RHA31" s="53"/>
      <c r="RHE31" s="28"/>
      <c r="RHG31" s="55"/>
      <c r="RHH31" s="53"/>
      <c r="RHL31" s="28"/>
      <c r="RHN31" s="55"/>
      <c r="RHO31" s="53"/>
      <c r="RHS31" s="28"/>
      <c r="RHU31" s="55"/>
      <c r="RHV31" s="53"/>
      <c r="RHZ31" s="28"/>
      <c r="RIB31" s="55"/>
      <c r="RIC31" s="53"/>
      <c r="RIG31" s="28"/>
      <c r="RII31" s="55"/>
      <c r="RIJ31" s="53"/>
      <c r="RIN31" s="28"/>
      <c r="RIP31" s="55"/>
      <c r="RIQ31" s="53"/>
      <c r="RIU31" s="28"/>
      <c r="RIW31" s="55"/>
      <c r="RIX31" s="53"/>
      <c r="RJB31" s="28"/>
      <c r="RJD31" s="55"/>
      <c r="RJE31" s="53"/>
      <c r="RJI31" s="28"/>
      <c r="RJK31" s="55"/>
      <c r="RJL31" s="53"/>
      <c r="RJP31" s="28"/>
      <c r="RJR31" s="55"/>
      <c r="RJS31" s="53"/>
      <c r="RJW31" s="28"/>
      <c r="RJY31" s="55"/>
      <c r="RJZ31" s="53"/>
      <c r="RKD31" s="28"/>
      <c r="RKF31" s="55"/>
      <c r="RKG31" s="53"/>
      <c r="RKK31" s="28"/>
      <c r="RKM31" s="55"/>
      <c r="RKN31" s="53"/>
      <c r="RKR31" s="28"/>
      <c r="RKT31" s="55"/>
      <c r="RKU31" s="53"/>
      <c r="RKY31" s="28"/>
      <c r="RLA31" s="55"/>
      <c r="RLB31" s="53"/>
      <c r="RLF31" s="28"/>
      <c r="RLH31" s="55"/>
      <c r="RLI31" s="53"/>
      <c r="RLM31" s="28"/>
      <c r="RLO31" s="55"/>
      <c r="RLP31" s="53"/>
      <c r="RLT31" s="28"/>
      <c r="RLV31" s="55"/>
      <c r="RLW31" s="53"/>
      <c r="RMA31" s="28"/>
      <c r="RMC31" s="55"/>
      <c r="RMD31" s="53"/>
      <c r="RMH31" s="28"/>
      <c r="RMJ31" s="55"/>
      <c r="RMK31" s="53"/>
      <c r="RMO31" s="28"/>
      <c r="RMQ31" s="55"/>
      <c r="RMR31" s="53"/>
      <c r="RMV31" s="28"/>
      <c r="RMX31" s="55"/>
      <c r="RMY31" s="53"/>
      <c r="RNC31" s="28"/>
      <c r="RNE31" s="55"/>
      <c r="RNF31" s="53"/>
      <c r="RNJ31" s="28"/>
      <c r="RNL31" s="55"/>
      <c r="RNM31" s="53"/>
      <c r="RNQ31" s="28"/>
      <c r="RNS31" s="55"/>
      <c r="RNT31" s="53"/>
      <c r="RNX31" s="28"/>
      <c r="RNZ31" s="55"/>
      <c r="ROA31" s="53"/>
      <c r="ROE31" s="28"/>
      <c r="ROG31" s="55"/>
      <c r="ROH31" s="53"/>
      <c r="ROL31" s="28"/>
      <c r="RON31" s="55"/>
      <c r="ROO31" s="53"/>
      <c r="ROS31" s="28"/>
      <c r="ROU31" s="55"/>
      <c r="ROV31" s="53"/>
      <c r="ROZ31" s="28"/>
      <c r="RPB31" s="55"/>
      <c r="RPC31" s="53"/>
      <c r="RPG31" s="28"/>
      <c r="RPI31" s="55"/>
      <c r="RPJ31" s="53"/>
      <c r="RPN31" s="28"/>
      <c r="RPP31" s="55"/>
      <c r="RPQ31" s="53"/>
      <c r="RPU31" s="28"/>
      <c r="RPW31" s="55"/>
      <c r="RPX31" s="53"/>
      <c r="RQB31" s="28"/>
      <c r="RQD31" s="55"/>
      <c r="RQE31" s="53"/>
      <c r="RQI31" s="28"/>
      <c r="RQK31" s="55"/>
      <c r="RQL31" s="53"/>
      <c r="RQP31" s="28"/>
      <c r="RQR31" s="55"/>
      <c r="RQS31" s="53"/>
      <c r="RQW31" s="28"/>
      <c r="RQY31" s="55"/>
      <c r="RQZ31" s="53"/>
      <c r="RRD31" s="28"/>
      <c r="RRF31" s="55"/>
      <c r="RRG31" s="53"/>
      <c r="RRK31" s="28"/>
      <c r="RRM31" s="55"/>
      <c r="RRN31" s="53"/>
      <c r="RRR31" s="28"/>
      <c r="RRT31" s="55"/>
      <c r="RRU31" s="53"/>
      <c r="RRY31" s="28"/>
      <c r="RSA31" s="55"/>
      <c r="RSB31" s="53"/>
      <c r="RSF31" s="28"/>
      <c r="RSH31" s="55"/>
      <c r="RSI31" s="53"/>
      <c r="RSM31" s="28"/>
      <c r="RSO31" s="55"/>
      <c r="RSP31" s="53"/>
      <c r="RST31" s="28"/>
      <c r="RSV31" s="55"/>
      <c r="RSW31" s="53"/>
      <c r="RTA31" s="28"/>
      <c r="RTC31" s="55"/>
      <c r="RTD31" s="53"/>
      <c r="RTH31" s="28"/>
      <c r="RTJ31" s="55"/>
      <c r="RTK31" s="53"/>
      <c r="RTO31" s="28"/>
      <c r="RTQ31" s="55"/>
      <c r="RTR31" s="53"/>
      <c r="RTV31" s="28"/>
      <c r="RTX31" s="55"/>
      <c r="RTY31" s="53"/>
      <c r="RUC31" s="28"/>
      <c r="RUE31" s="55"/>
      <c r="RUF31" s="53"/>
      <c r="RUJ31" s="28"/>
      <c r="RUL31" s="55"/>
      <c r="RUM31" s="53"/>
      <c r="RUQ31" s="28"/>
      <c r="RUS31" s="55"/>
      <c r="RUT31" s="53"/>
      <c r="RUX31" s="28"/>
      <c r="RUZ31" s="55"/>
      <c r="RVA31" s="53"/>
      <c r="RVE31" s="28"/>
      <c r="RVG31" s="55"/>
      <c r="RVH31" s="53"/>
      <c r="RVL31" s="28"/>
      <c r="RVN31" s="55"/>
      <c r="RVO31" s="53"/>
      <c r="RVS31" s="28"/>
      <c r="RVU31" s="55"/>
      <c r="RVV31" s="53"/>
      <c r="RVZ31" s="28"/>
      <c r="RWB31" s="55"/>
      <c r="RWC31" s="53"/>
      <c r="RWG31" s="28"/>
      <c r="RWI31" s="55"/>
      <c r="RWJ31" s="53"/>
      <c r="RWN31" s="28"/>
      <c r="RWP31" s="55"/>
      <c r="RWQ31" s="53"/>
      <c r="RWU31" s="28"/>
      <c r="RWW31" s="55"/>
      <c r="RWX31" s="53"/>
      <c r="RXB31" s="28"/>
      <c r="RXD31" s="55"/>
      <c r="RXE31" s="53"/>
      <c r="RXI31" s="28"/>
      <c r="RXK31" s="55"/>
      <c r="RXL31" s="53"/>
      <c r="RXP31" s="28"/>
      <c r="RXR31" s="55"/>
      <c r="RXS31" s="53"/>
      <c r="RXW31" s="28"/>
      <c r="RXY31" s="55"/>
      <c r="RXZ31" s="53"/>
      <c r="RYD31" s="28"/>
      <c r="RYF31" s="55"/>
      <c r="RYG31" s="53"/>
      <c r="RYK31" s="28"/>
      <c r="RYM31" s="55"/>
      <c r="RYN31" s="53"/>
      <c r="RYR31" s="28"/>
      <c r="RYT31" s="55"/>
      <c r="RYU31" s="53"/>
      <c r="RYY31" s="28"/>
      <c r="RZA31" s="55"/>
      <c r="RZB31" s="53"/>
      <c r="RZF31" s="28"/>
      <c r="RZH31" s="55"/>
      <c r="RZI31" s="53"/>
      <c r="RZM31" s="28"/>
      <c r="RZO31" s="55"/>
      <c r="RZP31" s="53"/>
      <c r="RZT31" s="28"/>
      <c r="RZV31" s="55"/>
      <c r="RZW31" s="53"/>
      <c r="SAA31" s="28"/>
      <c r="SAC31" s="55"/>
      <c r="SAD31" s="53"/>
      <c r="SAH31" s="28"/>
      <c r="SAJ31" s="55"/>
      <c r="SAK31" s="53"/>
      <c r="SAO31" s="28"/>
      <c r="SAQ31" s="55"/>
      <c r="SAR31" s="53"/>
      <c r="SAV31" s="28"/>
      <c r="SAX31" s="55"/>
      <c r="SAY31" s="53"/>
      <c r="SBC31" s="28"/>
      <c r="SBE31" s="55"/>
      <c r="SBF31" s="53"/>
      <c r="SBJ31" s="28"/>
      <c r="SBL31" s="55"/>
      <c r="SBM31" s="53"/>
      <c r="SBQ31" s="28"/>
      <c r="SBS31" s="55"/>
      <c r="SBT31" s="53"/>
      <c r="SBX31" s="28"/>
      <c r="SBZ31" s="55"/>
      <c r="SCA31" s="53"/>
      <c r="SCE31" s="28"/>
      <c r="SCG31" s="55"/>
      <c r="SCH31" s="53"/>
      <c r="SCL31" s="28"/>
      <c r="SCN31" s="55"/>
      <c r="SCO31" s="53"/>
      <c r="SCS31" s="28"/>
      <c r="SCU31" s="55"/>
      <c r="SCV31" s="53"/>
      <c r="SCZ31" s="28"/>
      <c r="SDB31" s="55"/>
      <c r="SDC31" s="53"/>
      <c r="SDG31" s="28"/>
      <c r="SDI31" s="55"/>
      <c r="SDJ31" s="53"/>
      <c r="SDN31" s="28"/>
      <c r="SDP31" s="55"/>
      <c r="SDQ31" s="53"/>
      <c r="SDU31" s="28"/>
      <c r="SDW31" s="55"/>
      <c r="SDX31" s="53"/>
      <c r="SEB31" s="28"/>
      <c r="SED31" s="55"/>
      <c r="SEE31" s="53"/>
      <c r="SEI31" s="28"/>
      <c r="SEK31" s="55"/>
      <c r="SEL31" s="53"/>
      <c r="SEP31" s="28"/>
      <c r="SER31" s="55"/>
      <c r="SES31" s="53"/>
      <c r="SEW31" s="28"/>
      <c r="SEY31" s="55"/>
      <c r="SEZ31" s="53"/>
      <c r="SFD31" s="28"/>
      <c r="SFF31" s="55"/>
      <c r="SFG31" s="53"/>
      <c r="SFK31" s="28"/>
      <c r="SFM31" s="55"/>
      <c r="SFN31" s="53"/>
      <c r="SFR31" s="28"/>
      <c r="SFT31" s="55"/>
      <c r="SFU31" s="53"/>
      <c r="SFY31" s="28"/>
      <c r="SGA31" s="55"/>
      <c r="SGB31" s="53"/>
      <c r="SGF31" s="28"/>
      <c r="SGH31" s="55"/>
      <c r="SGI31" s="53"/>
      <c r="SGM31" s="28"/>
      <c r="SGO31" s="55"/>
      <c r="SGP31" s="53"/>
      <c r="SGT31" s="28"/>
      <c r="SGV31" s="55"/>
      <c r="SGW31" s="53"/>
      <c r="SHA31" s="28"/>
      <c r="SHC31" s="55"/>
      <c r="SHD31" s="53"/>
      <c r="SHH31" s="28"/>
      <c r="SHJ31" s="55"/>
      <c r="SHK31" s="53"/>
      <c r="SHO31" s="28"/>
      <c r="SHQ31" s="55"/>
      <c r="SHR31" s="53"/>
      <c r="SHV31" s="28"/>
      <c r="SHX31" s="55"/>
      <c r="SHY31" s="53"/>
      <c r="SIC31" s="28"/>
      <c r="SIE31" s="55"/>
      <c r="SIF31" s="53"/>
      <c r="SIJ31" s="28"/>
      <c r="SIL31" s="55"/>
      <c r="SIM31" s="53"/>
      <c r="SIQ31" s="28"/>
      <c r="SIS31" s="55"/>
      <c r="SIT31" s="53"/>
      <c r="SIX31" s="28"/>
      <c r="SIZ31" s="55"/>
      <c r="SJA31" s="53"/>
      <c r="SJE31" s="28"/>
      <c r="SJG31" s="55"/>
      <c r="SJH31" s="53"/>
      <c r="SJL31" s="28"/>
      <c r="SJN31" s="55"/>
      <c r="SJO31" s="53"/>
      <c r="SJS31" s="28"/>
      <c r="SJU31" s="55"/>
      <c r="SJV31" s="53"/>
      <c r="SJZ31" s="28"/>
      <c r="SKB31" s="55"/>
      <c r="SKC31" s="53"/>
      <c r="SKG31" s="28"/>
      <c r="SKI31" s="55"/>
      <c r="SKJ31" s="53"/>
      <c r="SKN31" s="28"/>
      <c r="SKP31" s="55"/>
      <c r="SKQ31" s="53"/>
      <c r="SKU31" s="28"/>
      <c r="SKW31" s="55"/>
      <c r="SKX31" s="53"/>
      <c r="SLB31" s="28"/>
      <c r="SLD31" s="55"/>
      <c r="SLE31" s="53"/>
      <c r="SLI31" s="28"/>
      <c r="SLK31" s="55"/>
      <c r="SLL31" s="53"/>
      <c r="SLP31" s="28"/>
      <c r="SLR31" s="55"/>
      <c r="SLS31" s="53"/>
      <c r="SLW31" s="28"/>
      <c r="SLY31" s="55"/>
      <c r="SLZ31" s="53"/>
      <c r="SMD31" s="28"/>
      <c r="SMF31" s="55"/>
      <c r="SMG31" s="53"/>
      <c r="SMK31" s="28"/>
      <c r="SMM31" s="55"/>
      <c r="SMN31" s="53"/>
      <c r="SMR31" s="28"/>
      <c r="SMT31" s="55"/>
      <c r="SMU31" s="53"/>
      <c r="SMY31" s="28"/>
      <c r="SNA31" s="55"/>
      <c r="SNB31" s="53"/>
      <c r="SNF31" s="28"/>
      <c r="SNH31" s="55"/>
      <c r="SNI31" s="53"/>
      <c r="SNM31" s="28"/>
      <c r="SNO31" s="55"/>
      <c r="SNP31" s="53"/>
      <c r="SNT31" s="28"/>
      <c r="SNV31" s="55"/>
      <c r="SNW31" s="53"/>
      <c r="SOA31" s="28"/>
      <c r="SOC31" s="55"/>
      <c r="SOD31" s="53"/>
      <c r="SOH31" s="28"/>
      <c r="SOJ31" s="55"/>
      <c r="SOK31" s="53"/>
      <c r="SOO31" s="28"/>
      <c r="SOQ31" s="55"/>
      <c r="SOR31" s="53"/>
      <c r="SOV31" s="28"/>
      <c r="SOX31" s="55"/>
      <c r="SOY31" s="53"/>
      <c r="SPC31" s="28"/>
      <c r="SPE31" s="55"/>
      <c r="SPF31" s="53"/>
      <c r="SPJ31" s="28"/>
      <c r="SPL31" s="55"/>
      <c r="SPM31" s="53"/>
      <c r="SPQ31" s="28"/>
      <c r="SPS31" s="55"/>
      <c r="SPT31" s="53"/>
      <c r="SPX31" s="28"/>
      <c r="SPZ31" s="55"/>
      <c r="SQA31" s="53"/>
      <c r="SQE31" s="28"/>
      <c r="SQG31" s="55"/>
      <c r="SQH31" s="53"/>
      <c r="SQL31" s="28"/>
      <c r="SQN31" s="55"/>
      <c r="SQO31" s="53"/>
      <c r="SQS31" s="28"/>
      <c r="SQU31" s="55"/>
      <c r="SQV31" s="53"/>
      <c r="SQZ31" s="28"/>
      <c r="SRB31" s="55"/>
      <c r="SRC31" s="53"/>
      <c r="SRG31" s="28"/>
      <c r="SRI31" s="55"/>
      <c r="SRJ31" s="53"/>
      <c r="SRN31" s="28"/>
      <c r="SRP31" s="55"/>
      <c r="SRQ31" s="53"/>
      <c r="SRU31" s="28"/>
      <c r="SRW31" s="55"/>
      <c r="SRX31" s="53"/>
      <c r="SSB31" s="28"/>
      <c r="SSD31" s="55"/>
      <c r="SSE31" s="53"/>
      <c r="SSI31" s="28"/>
      <c r="SSK31" s="55"/>
      <c r="SSL31" s="53"/>
      <c r="SSP31" s="28"/>
      <c r="SSR31" s="55"/>
      <c r="SSS31" s="53"/>
      <c r="SSW31" s="28"/>
      <c r="SSY31" s="55"/>
      <c r="SSZ31" s="53"/>
      <c r="STD31" s="28"/>
      <c r="STF31" s="55"/>
      <c r="STG31" s="53"/>
      <c r="STK31" s="28"/>
      <c r="STM31" s="55"/>
      <c r="STN31" s="53"/>
      <c r="STR31" s="28"/>
      <c r="STT31" s="55"/>
      <c r="STU31" s="53"/>
      <c r="STY31" s="28"/>
      <c r="SUA31" s="55"/>
      <c r="SUB31" s="53"/>
      <c r="SUF31" s="28"/>
      <c r="SUH31" s="55"/>
      <c r="SUI31" s="53"/>
      <c r="SUM31" s="28"/>
      <c r="SUO31" s="55"/>
      <c r="SUP31" s="53"/>
      <c r="SUT31" s="28"/>
      <c r="SUV31" s="55"/>
      <c r="SUW31" s="53"/>
      <c r="SVA31" s="28"/>
      <c r="SVC31" s="55"/>
      <c r="SVD31" s="53"/>
      <c r="SVH31" s="28"/>
      <c r="SVJ31" s="55"/>
      <c r="SVK31" s="53"/>
      <c r="SVO31" s="28"/>
      <c r="SVQ31" s="55"/>
      <c r="SVR31" s="53"/>
      <c r="SVV31" s="28"/>
      <c r="SVX31" s="55"/>
      <c r="SVY31" s="53"/>
      <c r="SWC31" s="28"/>
      <c r="SWE31" s="55"/>
      <c r="SWF31" s="53"/>
      <c r="SWJ31" s="28"/>
      <c r="SWL31" s="55"/>
      <c r="SWM31" s="53"/>
      <c r="SWQ31" s="28"/>
      <c r="SWS31" s="55"/>
      <c r="SWT31" s="53"/>
      <c r="SWX31" s="28"/>
      <c r="SWZ31" s="55"/>
      <c r="SXA31" s="53"/>
      <c r="SXE31" s="28"/>
      <c r="SXG31" s="55"/>
      <c r="SXH31" s="53"/>
      <c r="SXL31" s="28"/>
      <c r="SXN31" s="55"/>
      <c r="SXO31" s="53"/>
      <c r="SXS31" s="28"/>
      <c r="SXU31" s="55"/>
      <c r="SXV31" s="53"/>
      <c r="SXZ31" s="28"/>
      <c r="SYB31" s="55"/>
      <c r="SYC31" s="53"/>
      <c r="SYG31" s="28"/>
      <c r="SYI31" s="55"/>
      <c r="SYJ31" s="53"/>
      <c r="SYN31" s="28"/>
      <c r="SYP31" s="55"/>
      <c r="SYQ31" s="53"/>
      <c r="SYU31" s="28"/>
      <c r="SYW31" s="55"/>
      <c r="SYX31" s="53"/>
      <c r="SZB31" s="28"/>
      <c r="SZD31" s="55"/>
      <c r="SZE31" s="53"/>
      <c r="SZI31" s="28"/>
      <c r="SZK31" s="55"/>
      <c r="SZL31" s="53"/>
      <c r="SZP31" s="28"/>
      <c r="SZR31" s="55"/>
      <c r="SZS31" s="53"/>
      <c r="SZW31" s="28"/>
      <c r="SZY31" s="55"/>
      <c r="SZZ31" s="53"/>
      <c r="TAD31" s="28"/>
      <c r="TAF31" s="55"/>
      <c r="TAG31" s="53"/>
      <c r="TAK31" s="28"/>
      <c r="TAM31" s="55"/>
      <c r="TAN31" s="53"/>
      <c r="TAR31" s="28"/>
      <c r="TAT31" s="55"/>
      <c r="TAU31" s="53"/>
      <c r="TAY31" s="28"/>
      <c r="TBA31" s="55"/>
      <c r="TBB31" s="53"/>
      <c r="TBF31" s="28"/>
      <c r="TBH31" s="55"/>
      <c r="TBI31" s="53"/>
      <c r="TBM31" s="28"/>
      <c r="TBO31" s="55"/>
      <c r="TBP31" s="53"/>
      <c r="TBT31" s="28"/>
      <c r="TBV31" s="55"/>
      <c r="TBW31" s="53"/>
      <c r="TCA31" s="28"/>
      <c r="TCC31" s="55"/>
      <c r="TCD31" s="53"/>
      <c r="TCH31" s="28"/>
      <c r="TCJ31" s="55"/>
      <c r="TCK31" s="53"/>
      <c r="TCO31" s="28"/>
      <c r="TCQ31" s="55"/>
      <c r="TCR31" s="53"/>
      <c r="TCV31" s="28"/>
      <c r="TCX31" s="55"/>
      <c r="TCY31" s="53"/>
      <c r="TDC31" s="28"/>
      <c r="TDE31" s="55"/>
      <c r="TDF31" s="53"/>
      <c r="TDJ31" s="28"/>
      <c r="TDL31" s="55"/>
      <c r="TDM31" s="53"/>
      <c r="TDQ31" s="28"/>
      <c r="TDS31" s="55"/>
      <c r="TDT31" s="53"/>
      <c r="TDX31" s="28"/>
      <c r="TDZ31" s="55"/>
      <c r="TEA31" s="53"/>
      <c r="TEE31" s="28"/>
      <c r="TEG31" s="55"/>
      <c r="TEH31" s="53"/>
      <c r="TEL31" s="28"/>
      <c r="TEN31" s="55"/>
      <c r="TEO31" s="53"/>
      <c r="TES31" s="28"/>
      <c r="TEU31" s="55"/>
      <c r="TEV31" s="53"/>
      <c r="TEZ31" s="28"/>
      <c r="TFB31" s="55"/>
      <c r="TFC31" s="53"/>
      <c r="TFG31" s="28"/>
      <c r="TFI31" s="55"/>
      <c r="TFJ31" s="53"/>
      <c r="TFN31" s="28"/>
      <c r="TFP31" s="55"/>
      <c r="TFQ31" s="53"/>
      <c r="TFU31" s="28"/>
      <c r="TFW31" s="55"/>
      <c r="TFX31" s="53"/>
      <c r="TGB31" s="28"/>
      <c r="TGD31" s="55"/>
      <c r="TGE31" s="53"/>
      <c r="TGI31" s="28"/>
      <c r="TGK31" s="55"/>
      <c r="TGL31" s="53"/>
      <c r="TGP31" s="28"/>
      <c r="TGR31" s="55"/>
      <c r="TGS31" s="53"/>
      <c r="TGW31" s="28"/>
      <c r="TGY31" s="55"/>
      <c r="TGZ31" s="53"/>
      <c r="THD31" s="28"/>
      <c r="THF31" s="55"/>
      <c r="THG31" s="53"/>
      <c r="THK31" s="28"/>
      <c r="THM31" s="55"/>
      <c r="THN31" s="53"/>
      <c r="THR31" s="28"/>
      <c r="THT31" s="55"/>
      <c r="THU31" s="53"/>
      <c r="THY31" s="28"/>
      <c r="TIA31" s="55"/>
      <c r="TIB31" s="53"/>
      <c r="TIF31" s="28"/>
      <c r="TIH31" s="55"/>
      <c r="TII31" s="53"/>
      <c r="TIM31" s="28"/>
      <c r="TIO31" s="55"/>
      <c r="TIP31" s="53"/>
      <c r="TIT31" s="28"/>
      <c r="TIV31" s="55"/>
      <c r="TIW31" s="53"/>
      <c r="TJA31" s="28"/>
      <c r="TJC31" s="55"/>
      <c r="TJD31" s="53"/>
      <c r="TJH31" s="28"/>
      <c r="TJJ31" s="55"/>
      <c r="TJK31" s="53"/>
      <c r="TJO31" s="28"/>
      <c r="TJQ31" s="55"/>
      <c r="TJR31" s="53"/>
      <c r="TJV31" s="28"/>
      <c r="TJX31" s="55"/>
      <c r="TJY31" s="53"/>
      <c r="TKC31" s="28"/>
      <c r="TKE31" s="55"/>
      <c r="TKF31" s="53"/>
      <c r="TKJ31" s="28"/>
      <c r="TKL31" s="55"/>
      <c r="TKM31" s="53"/>
      <c r="TKQ31" s="28"/>
      <c r="TKS31" s="55"/>
      <c r="TKT31" s="53"/>
      <c r="TKX31" s="28"/>
      <c r="TKZ31" s="55"/>
      <c r="TLA31" s="53"/>
      <c r="TLE31" s="28"/>
      <c r="TLG31" s="55"/>
      <c r="TLH31" s="53"/>
      <c r="TLL31" s="28"/>
      <c r="TLN31" s="55"/>
      <c r="TLO31" s="53"/>
      <c r="TLS31" s="28"/>
      <c r="TLU31" s="55"/>
      <c r="TLV31" s="53"/>
      <c r="TLZ31" s="28"/>
      <c r="TMB31" s="55"/>
      <c r="TMC31" s="53"/>
      <c r="TMG31" s="28"/>
      <c r="TMI31" s="55"/>
      <c r="TMJ31" s="53"/>
      <c r="TMN31" s="28"/>
      <c r="TMP31" s="55"/>
      <c r="TMQ31" s="53"/>
      <c r="TMU31" s="28"/>
      <c r="TMW31" s="55"/>
      <c r="TMX31" s="53"/>
      <c r="TNB31" s="28"/>
      <c r="TND31" s="55"/>
      <c r="TNE31" s="53"/>
      <c r="TNI31" s="28"/>
      <c r="TNK31" s="55"/>
      <c r="TNL31" s="53"/>
      <c r="TNP31" s="28"/>
      <c r="TNR31" s="55"/>
      <c r="TNS31" s="53"/>
      <c r="TNW31" s="28"/>
      <c r="TNY31" s="55"/>
      <c r="TNZ31" s="53"/>
      <c r="TOD31" s="28"/>
      <c r="TOF31" s="55"/>
      <c r="TOG31" s="53"/>
      <c r="TOK31" s="28"/>
      <c r="TOM31" s="55"/>
      <c r="TON31" s="53"/>
      <c r="TOR31" s="28"/>
      <c r="TOT31" s="55"/>
      <c r="TOU31" s="53"/>
      <c r="TOY31" s="28"/>
      <c r="TPA31" s="55"/>
      <c r="TPB31" s="53"/>
      <c r="TPF31" s="28"/>
      <c r="TPH31" s="55"/>
      <c r="TPI31" s="53"/>
      <c r="TPM31" s="28"/>
      <c r="TPO31" s="55"/>
      <c r="TPP31" s="53"/>
      <c r="TPT31" s="28"/>
      <c r="TPV31" s="55"/>
      <c r="TPW31" s="53"/>
      <c r="TQA31" s="28"/>
      <c r="TQC31" s="55"/>
      <c r="TQD31" s="53"/>
      <c r="TQH31" s="28"/>
      <c r="TQJ31" s="55"/>
      <c r="TQK31" s="53"/>
      <c r="TQO31" s="28"/>
      <c r="TQQ31" s="55"/>
      <c r="TQR31" s="53"/>
      <c r="TQV31" s="28"/>
      <c r="TQX31" s="55"/>
      <c r="TQY31" s="53"/>
      <c r="TRC31" s="28"/>
      <c r="TRE31" s="55"/>
      <c r="TRF31" s="53"/>
      <c r="TRJ31" s="28"/>
      <c r="TRL31" s="55"/>
      <c r="TRM31" s="53"/>
      <c r="TRQ31" s="28"/>
      <c r="TRS31" s="55"/>
      <c r="TRT31" s="53"/>
      <c r="TRX31" s="28"/>
      <c r="TRZ31" s="55"/>
      <c r="TSA31" s="53"/>
      <c r="TSE31" s="28"/>
      <c r="TSG31" s="55"/>
      <c r="TSH31" s="53"/>
      <c r="TSL31" s="28"/>
      <c r="TSN31" s="55"/>
      <c r="TSO31" s="53"/>
      <c r="TSS31" s="28"/>
      <c r="TSU31" s="55"/>
      <c r="TSV31" s="53"/>
      <c r="TSZ31" s="28"/>
      <c r="TTB31" s="55"/>
      <c r="TTC31" s="53"/>
      <c r="TTG31" s="28"/>
      <c r="TTI31" s="55"/>
      <c r="TTJ31" s="53"/>
      <c r="TTN31" s="28"/>
      <c r="TTP31" s="55"/>
      <c r="TTQ31" s="53"/>
      <c r="TTU31" s="28"/>
      <c r="TTW31" s="55"/>
      <c r="TTX31" s="53"/>
      <c r="TUB31" s="28"/>
      <c r="TUD31" s="55"/>
      <c r="TUE31" s="53"/>
      <c r="TUI31" s="28"/>
      <c r="TUK31" s="55"/>
      <c r="TUL31" s="53"/>
      <c r="TUP31" s="28"/>
      <c r="TUR31" s="55"/>
      <c r="TUS31" s="53"/>
      <c r="TUW31" s="28"/>
      <c r="TUY31" s="55"/>
      <c r="TUZ31" s="53"/>
      <c r="TVD31" s="28"/>
      <c r="TVF31" s="55"/>
      <c r="TVG31" s="53"/>
      <c r="TVK31" s="28"/>
      <c r="TVM31" s="55"/>
      <c r="TVN31" s="53"/>
      <c r="TVR31" s="28"/>
      <c r="TVT31" s="55"/>
      <c r="TVU31" s="53"/>
      <c r="TVY31" s="28"/>
      <c r="TWA31" s="55"/>
      <c r="TWB31" s="53"/>
      <c r="TWF31" s="28"/>
      <c r="TWH31" s="55"/>
      <c r="TWI31" s="53"/>
      <c r="TWM31" s="28"/>
      <c r="TWO31" s="55"/>
      <c r="TWP31" s="53"/>
      <c r="TWT31" s="28"/>
      <c r="TWV31" s="55"/>
      <c r="TWW31" s="53"/>
      <c r="TXA31" s="28"/>
      <c r="TXC31" s="55"/>
      <c r="TXD31" s="53"/>
      <c r="TXH31" s="28"/>
      <c r="TXJ31" s="55"/>
      <c r="TXK31" s="53"/>
      <c r="TXO31" s="28"/>
      <c r="TXQ31" s="55"/>
      <c r="TXR31" s="53"/>
      <c r="TXV31" s="28"/>
      <c r="TXX31" s="55"/>
      <c r="TXY31" s="53"/>
      <c r="TYC31" s="28"/>
      <c r="TYE31" s="55"/>
      <c r="TYF31" s="53"/>
      <c r="TYJ31" s="28"/>
      <c r="TYL31" s="55"/>
      <c r="TYM31" s="53"/>
      <c r="TYQ31" s="28"/>
      <c r="TYS31" s="55"/>
      <c r="TYT31" s="53"/>
      <c r="TYX31" s="28"/>
      <c r="TYZ31" s="55"/>
      <c r="TZA31" s="53"/>
      <c r="TZE31" s="28"/>
      <c r="TZG31" s="55"/>
      <c r="TZH31" s="53"/>
      <c r="TZL31" s="28"/>
      <c r="TZN31" s="55"/>
      <c r="TZO31" s="53"/>
      <c r="TZS31" s="28"/>
      <c r="TZU31" s="55"/>
      <c r="TZV31" s="53"/>
      <c r="TZZ31" s="28"/>
      <c r="UAB31" s="55"/>
      <c r="UAC31" s="53"/>
      <c r="UAG31" s="28"/>
      <c r="UAI31" s="55"/>
      <c r="UAJ31" s="53"/>
      <c r="UAN31" s="28"/>
      <c r="UAP31" s="55"/>
      <c r="UAQ31" s="53"/>
      <c r="UAU31" s="28"/>
      <c r="UAW31" s="55"/>
      <c r="UAX31" s="53"/>
      <c r="UBB31" s="28"/>
      <c r="UBD31" s="55"/>
      <c r="UBE31" s="53"/>
      <c r="UBI31" s="28"/>
      <c r="UBK31" s="55"/>
      <c r="UBL31" s="53"/>
      <c r="UBP31" s="28"/>
      <c r="UBR31" s="55"/>
      <c r="UBS31" s="53"/>
      <c r="UBW31" s="28"/>
      <c r="UBY31" s="55"/>
      <c r="UBZ31" s="53"/>
      <c r="UCD31" s="28"/>
      <c r="UCF31" s="55"/>
      <c r="UCG31" s="53"/>
      <c r="UCK31" s="28"/>
      <c r="UCM31" s="55"/>
      <c r="UCN31" s="53"/>
      <c r="UCR31" s="28"/>
      <c r="UCT31" s="55"/>
      <c r="UCU31" s="53"/>
      <c r="UCY31" s="28"/>
      <c r="UDA31" s="55"/>
      <c r="UDB31" s="53"/>
      <c r="UDF31" s="28"/>
      <c r="UDH31" s="55"/>
      <c r="UDI31" s="53"/>
      <c r="UDM31" s="28"/>
      <c r="UDO31" s="55"/>
      <c r="UDP31" s="53"/>
      <c r="UDT31" s="28"/>
      <c r="UDV31" s="55"/>
      <c r="UDW31" s="53"/>
      <c r="UEA31" s="28"/>
      <c r="UEC31" s="55"/>
      <c r="UED31" s="53"/>
      <c r="UEH31" s="28"/>
      <c r="UEJ31" s="55"/>
      <c r="UEK31" s="53"/>
      <c r="UEO31" s="28"/>
      <c r="UEQ31" s="55"/>
      <c r="UER31" s="53"/>
      <c r="UEV31" s="28"/>
      <c r="UEX31" s="55"/>
      <c r="UEY31" s="53"/>
      <c r="UFC31" s="28"/>
      <c r="UFE31" s="55"/>
      <c r="UFF31" s="53"/>
      <c r="UFJ31" s="28"/>
      <c r="UFL31" s="55"/>
      <c r="UFM31" s="53"/>
      <c r="UFQ31" s="28"/>
      <c r="UFS31" s="55"/>
      <c r="UFT31" s="53"/>
      <c r="UFX31" s="28"/>
      <c r="UFZ31" s="55"/>
      <c r="UGA31" s="53"/>
      <c r="UGE31" s="28"/>
      <c r="UGG31" s="55"/>
      <c r="UGH31" s="53"/>
      <c r="UGL31" s="28"/>
      <c r="UGN31" s="55"/>
      <c r="UGO31" s="53"/>
      <c r="UGS31" s="28"/>
      <c r="UGU31" s="55"/>
      <c r="UGV31" s="53"/>
      <c r="UGZ31" s="28"/>
      <c r="UHB31" s="55"/>
      <c r="UHC31" s="53"/>
      <c r="UHG31" s="28"/>
      <c r="UHI31" s="55"/>
      <c r="UHJ31" s="53"/>
      <c r="UHN31" s="28"/>
      <c r="UHP31" s="55"/>
      <c r="UHQ31" s="53"/>
      <c r="UHU31" s="28"/>
      <c r="UHW31" s="55"/>
      <c r="UHX31" s="53"/>
      <c r="UIB31" s="28"/>
      <c r="UID31" s="55"/>
      <c r="UIE31" s="53"/>
      <c r="UII31" s="28"/>
      <c r="UIK31" s="55"/>
      <c r="UIL31" s="53"/>
      <c r="UIP31" s="28"/>
      <c r="UIR31" s="55"/>
      <c r="UIS31" s="53"/>
      <c r="UIW31" s="28"/>
      <c r="UIY31" s="55"/>
      <c r="UIZ31" s="53"/>
      <c r="UJD31" s="28"/>
      <c r="UJF31" s="55"/>
      <c r="UJG31" s="53"/>
      <c r="UJK31" s="28"/>
      <c r="UJM31" s="55"/>
      <c r="UJN31" s="53"/>
      <c r="UJR31" s="28"/>
      <c r="UJT31" s="55"/>
      <c r="UJU31" s="53"/>
      <c r="UJY31" s="28"/>
      <c r="UKA31" s="55"/>
      <c r="UKB31" s="53"/>
      <c r="UKF31" s="28"/>
      <c r="UKH31" s="55"/>
      <c r="UKI31" s="53"/>
      <c r="UKM31" s="28"/>
      <c r="UKO31" s="55"/>
      <c r="UKP31" s="53"/>
      <c r="UKT31" s="28"/>
      <c r="UKV31" s="55"/>
      <c r="UKW31" s="53"/>
      <c r="ULA31" s="28"/>
      <c r="ULC31" s="55"/>
      <c r="ULD31" s="53"/>
      <c r="ULH31" s="28"/>
      <c r="ULJ31" s="55"/>
      <c r="ULK31" s="53"/>
      <c r="ULO31" s="28"/>
      <c r="ULQ31" s="55"/>
      <c r="ULR31" s="53"/>
      <c r="ULV31" s="28"/>
      <c r="ULX31" s="55"/>
      <c r="ULY31" s="53"/>
      <c r="UMC31" s="28"/>
      <c r="UME31" s="55"/>
      <c r="UMF31" s="53"/>
      <c r="UMJ31" s="28"/>
      <c r="UML31" s="55"/>
      <c r="UMM31" s="53"/>
      <c r="UMQ31" s="28"/>
      <c r="UMS31" s="55"/>
      <c r="UMT31" s="53"/>
      <c r="UMX31" s="28"/>
      <c r="UMZ31" s="55"/>
      <c r="UNA31" s="53"/>
      <c r="UNE31" s="28"/>
      <c r="UNG31" s="55"/>
      <c r="UNH31" s="53"/>
      <c r="UNL31" s="28"/>
      <c r="UNN31" s="55"/>
      <c r="UNO31" s="53"/>
      <c r="UNS31" s="28"/>
      <c r="UNU31" s="55"/>
      <c r="UNV31" s="53"/>
      <c r="UNZ31" s="28"/>
      <c r="UOB31" s="55"/>
      <c r="UOC31" s="53"/>
      <c r="UOG31" s="28"/>
      <c r="UOI31" s="55"/>
      <c r="UOJ31" s="53"/>
      <c r="UON31" s="28"/>
      <c r="UOP31" s="55"/>
      <c r="UOQ31" s="53"/>
      <c r="UOU31" s="28"/>
      <c r="UOW31" s="55"/>
      <c r="UOX31" s="53"/>
      <c r="UPB31" s="28"/>
      <c r="UPD31" s="55"/>
      <c r="UPE31" s="53"/>
      <c r="UPI31" s="28"/>
      <c r="UPK31" s="55"/>
      <c r="UPL31" s="53"/>
      <c r="UPP31" s="28"/>
      <c r="UPR31" s="55"/>
      <c r="UPS31" s="53"/>
      <c r="UPW31" s="28"/>
      <c r="UPY31" s="55"/>
      <c r="UPZ31" s="53"/>
      <c r="UQD31" s="28"/>
      <c r="UQF31" s="55"/>
      <c r="UQG31" s="53"/>
      <c r="UQK31" s="28"/>
      <c r="UQM31" s="55"/>
      <c r="UQN31" s="53"/>
      <c r="UQR31" s="28"/>
      <c r="UQT31" s="55"/>
      <c r="UQU31" s="53"/>
      <c r="UQY31" s="28"/>
      <c r="URA31" s="55"/>
      <c r="URB31" s="53"/>
      <c r="URF31" s="28"/>
      <c r="URH31" s="55"/>
      <c r="URI31" s="53"/>
      <c r="URM31" s="28"/>
      <c r="URO31" s="55"/>
      <c r="URP31" s="53"/>
      <c r="URT31" s="28"/>
      <c r="URV31" s="55"/>
      <c r="URW31" s="53"/>
      <c r="USA31" s="28"/>
      <c r="USC31" s="55"/>
      <c r="USD31" s="53"/>
      <c r="USH31" s="28"/>
      <c r="USJ31" s="55"/>
      <c r="USK31" s="53"/>
      <c r="USO31" s="28"/>
      <c r="USQ31" s="55"/>
      <c r="USR31" s="53"/>
      <c r="USV31" s="28"/>
      <c r="USX31" s="55"/>
      <c r="USY31" s="53"/>
      <c r="UTC31" s="28"/>
      <c r="UTE31" s="55"/>
      <c r="UTF31" s="53"/>
      <c r="UTJ31" s="28"/>
      <c r="UTL31" s="55"/>
      <c r="UTM31" s="53"/>
      <c r="UTQ31" s="28"/>
      <c r="UTS31" s="55"/>
      <c r="UTT31" s="53"/>
      <c r="UTX31" s="28"/>
      <c r="UTZ31" s="55"/>
      <c r="UUA31" s="53"/>
      <c r="UUE31" s="28"/>
      <c r="UUG31" s="55"/>
      <c r="UUH31" s="53"/>
      <c r="UUL31" s="28"/>
      <c r="UUN31" s="55"/>
      <c r="UUO31" s="53"/>
      <c r="UUS31" s="28"/>
      <c r="UUU31" s="55"/>
      <c r="UUV31" s="53"/>
      <c r="UUZ31" s="28"/>
      <c r="UVB31" s="55"/>
      <c r="UVC31" s="53"/>
      <c r="UVG31" s="28"/>
      <c r="UVI31" s="55"/>
      <c r="UVJ31" s="53"/>
      <c r="UVN31" s="28"/>
      <c r="UVP31" s="55"/>
      <c r="UVQ31" s="53"/>
      <c r="UVU31" s="28"/>
      <c r="UVW31" s="55"/>
      <c r="UVX31" s="53"/>
      <c r="UWB31" s="28"/>
      <c r="UWD31" s="55"/>
      <c r="UWE31" s="53"/>
      <c r="UWI31" s="28"/>
      <c r="UWK31" s="55"/>
      <c r="UWL31" s="53"/>
      <c r="UWP31" s="28"/>
      <c r="UWR31" s="55"/>
      <c r="UWS31" s="53"/>
      <c r="UWW31" s="28"/>
      <c r="UWY31" s="55"/>
      <c r="UWZ31" s="53"/>
      <c r="UXD31" s="28"/>
      <c r="UXF31" s="55"/>
      <c r="UXG31" s="53"/>
      <c r="UXK31" s="28"/>
      <c r="UXM31" s="55"/>
      <c r="UXN31" s="53"/>
      <c r="UXR31" s="28"/>
      <c r="UXT31" s="55"/>
      <c r="UXU31" s="53"/>
      <c r="UXY31" s="28"/>
      <c r="UYA31" s="55"/>
      <c r="UYB31" s="53"/>
      <c r="UYF31" s="28"/>
      <c r="UYH31" s="55"/>
      <c r="UYI31" s="53"/>
      <c r="UYM31" s="28"/>
      <c r="UYO31" s="55"/>
      <c r="UYP31" s="53"/>
      <c r="UYT31" s="28"/>
      <c r="UYV31" s="55"/>
      <c r="UYW31" s="53"/>
      <c r="UZA31" s="28"/>
      <c r="UZC31" s="55"/>
      <c r="UZD31" s="53"/>
      <c r="UZH31" s="28"/>
      <c r="UZJ31" s="55"/>
      <c r="UZK31" s="53"/>
      <c r="UZO31" s="28"/>
      <c r="UZQ31" s="55"/>
      <c r="UZR31" s="53"/>
      <c r="UZV31" s="28"/>
      <c r="UZX31" s="55"/>
      <c r="UZY31" s="53"/>
      <c r="VAC31" s="28"/>
      <c r="VAE31" s="55"/>
      <c r="VAF31" s="53"/>
      <c r="VAJ31" s="28"/>
      <c r="VAL31" s="55"/>
      <c r="VAM31" s="53"/>
      <c r="VAQ31" s="28"/>
      <c r="VAS31" s="55"/>
      <c r="VAT31" s="53"/>
      <c r="VAX31" s="28"/>
      <c r="VAZ31" s="55"/>
      <c r="VBA31" s="53"/>
      <c r="VBE31" s="28"/>
      <c r="VBG31" s="55"/>
      <c r="VBH31" s="53"/>
      <c r="VBL31" s="28"/>
      <c r="VBN31" s="55"/>
      <c r="VBO31" s="53"/>
      <c r="VBS31" s="28"/>
      <c r="VBU31" s="55"/>
      <c r="VBV31" s="53"/>
      <c r="VBZ31" s="28"/>
      <c r="VCB31" s="55"/>
      <c r="VCC31" s="53"/>
      <c r="VCG31" s="28"/>
      <c r="VCI31" s="55"/>
      <c r="VCJ31" s="53"/>
      <c r="VCN31" s="28"/>
      <c r="VCP31" s="55"/>
      <c r="VCQ31" s="53"/>
      <c r="VCU31" s="28"/>
      <c r="VCW31" s="55"/>
      <c r="VCX31" s="53"/>
      <c r="VDB31" s="28"/>
      <c r="VDD31" s="55"/>
      <c r="VDE31" s="53"/>
      <c r="VDI31" s="28"/>
      <c r="VDK31" s="55"/>
      <c r="VDL31" s="53"/>
      <c r="VDP31" s="28"/>
      <c r="VDR31" s="55"/>
      <c r="VDS31" s="53"/>
      <c r="VDW31" s="28"/>
      <c r="VDY31" s="55"/>
      <c r="VDZ31" s="53"/>
      <c r="VED31" s="28"/>
      <c r="VEF31" s="55"/>
      <c r="VEG31" s="53"/>
      <c r="VEK31" s="28"/>
      <c r="VEM31" s="55"/>
      <c r="VEN31" s="53"/>
      <c r="VER31" s="28"/>
      <c r="VET31" s="55"/>
      <c r="VEU31" s="53"/>
      <c r="VEY31" s="28"/>
      <c r="VFA31" s="55"/>
      <c r="VFB31" s="53"/>
      <c r="VFF31" s="28"/>
      <c r="VFH31" s="55"/>
      <c r="VFI31" s="53"/>
      <c r="VFM31" s="28"/>
      <c r="VFO31" s="55"/>
      <c r="VFP31" s="53"/>
      <c r="VFT31" s="28"/>
      <c r="VFV31" s="55"/>
      <c r="VFW31" s="53"/>
      <c r="VGA31" s="28"/>
      <c r="VGC31" s="55"/>
      <c r="VGD31" s="53"/>
      <c r="VGH31" s="28"/>
      <c r="VGJ31" s="55"/>
      <c r="VGK31" s="53"/>
      <c r="VGO31" s="28"/>
      <c r="VGQ31" s="55"/>
      <c r="VGR31" s="53"/>
      <c r="VGV31" s="28"/>
      <c r="VGX31" s="55"/>
      <c r="VGY31" s="53"/>
      <c r="VHC31" s="28"/>
      <c r="VHE31" s="55"/>
      <c r="VHF31" s="53"/>
      <c r="VHJ31" s="28"/>
      <c r="VHL31" s="55"/>
      <c r="VHM31" s="53"/>
      <c r="VHQ31" s="28"/>
      <c r="VHS31" s="55"/>
      <c r="VHT31" s="53"/>
      <c r="VHX31" s="28"/>
      <c r="VHZ31" s="55"/>
      <c r="VIA31" s="53"/>
      <c r="VIE31" s="28"/>
      <c r="VIG31" s="55"/>
      <c r="VIH31" s="53"/>
      <c r="VIL31" s="28"/>
      <c r="VIN31" s="55"/>
      <c r="VIO31" s="53"/>
      <c r="VIS31" s="28"/>
      <c r="VIU31" s="55"/>
      <c r="VIV31" s="53"/>
      <c r="VIZ31" s="28"/>
      <c r="VJB31" s="55"/>
      <c r="VJC31" s="53"/>
      <c r="VJG31" s="28"/>
      <c r="VJI31" s="55"/>
      <c r="VJJ31" s="53"/>
      <c r="VJN31" s="28"/>
      <c r="VJP31" s="55"/>
      <c r="VJQ31" s="53"/>
      <c r="VJU31" s="28"/>
      <c r="VJW31" s="55"/>
      <c r="VJX31" s="53"/>
      <c r="VKB31" s="28"/>
      <c r="VKD31" s="55"/>
      <c r="VKE31" s="53"/>
      <c r="VKI31" s="28"/>
      <c r="VKK31" s="55"/>
      <c r="VKL31" s="53"/>
      <c r="VKP31" s="28"/>
      <c r="VKR31" s="55"/>
      <c r="VKS31" s="53"/>
      <c r="VKW31" s="28"/>
      <c r="VKY31" s="55"/>
      <c r="VKZ31" s="53"/>
      <c r="VLD31" s="28"/>
      <c r="VLF31" s="55"/>
      <c r="VLG31" s="53"/>
      <c r="VLK31" s="28"/>
      <c r="VLM31" s="55"/>
      <c r="VLN31" s="53"/>
      <c r="VLR31" s="28"/>
      <c r="VLT31" s="55"/>
      <c r="VLU31" s="53"/>
      <c r="VLY31" s="28"/>
      <c r="VMA31" s="55"/>
      <c r="VMB31" s="53"/>
      <c r="VMF31" s="28"/>
      <c r="VMH31" s="55"/>
      <c r="VMI31" s="53"/>
      <c r="VMM31" s="28"/>
      <c r="VMO31" s="55"/>
      <c r="VMP31" s="53"/>
      <c r="VMT31" s="28"/>
      <c r="VMV31" s="55"/>
      <c r="VMW31" s="53"/>
      <c r="VNA31" s="28"/>
      <c r="VNC31" s="55"/>
      <c r="VND31" s="53"/>
      <c r="VNH31" s="28"/>
      <c r="VNJ31" s="55"/>
      <c r="VNK31" s="53"/>
      <c r="VNO31" s="28"/>
      <c r="VNQ31" s="55"/>
      <c r="VNR31" s="53"/>
      <c r="VNV31" s="28"/>
      <c r="VNX31" s="55"/>
      <c r="VNY31" s="53"/>
      <c r="VOC31" s="28"/>
      <c r="VOE31" s="55"/>
      <c r="VOF31" s="53"/>
      <c r="VOJ31" s="28"/>
      <c r="VOL31" s="55"/>
      <c r="VOM31" s="53"/>
      <c r="VOQ31" s="28"/>
      <c r="VOS31" s="55"/>
      <c r="VOT31" s="53"/>
      <c r="VOX31" s="28"/>
      <c r="VOZ31" s="55"/>
      <c r="VPA31" s="53"/>
      <c r="VPE31" s="28"/>
      <c r="VPG31" s="55"/>
      <c r="VPH31" s="53"/>
      <c r="VPL31" s="28"/>
      <c r="VPN31" s="55"/>
      <c r="VPO31" s="53"/>
      <c r="VPS31" s="28"/>
      <c r="VPU31" s="55"/>
      <c r="VPV31" s="53"/>
      <c r="VPZ31" s="28"/>
      <c r="VQB31" s="55"/>
      <c r="VQC31" s="53"/>
      <c r="VQG31" s="28"/>
      <c r="VQI31" s="55"/>
      <c r="VQJ31" s="53"/>
      <c r="VQN31" s="28"/>
      <c r="VQP31" s="55"/>
      <c r="VQQ31" s="53"/>
      <c r="VQU31" s="28"/>
      <c r="VQW31" s="55"/>
      <c r="VQX31" s="53"/>
      <c r="VRB31" s="28"/>
      <c r="VRD31" s="55"/>
      <c r="VRE31" s="53"/>
      <c r="VRI31" s="28"/>
      <c r="VRK31" s="55"/>
      <c r="VRL31" s="53"/>
      <c r="VRP31" s="28"/>
      <c r="VRR31" s="55"/>
      <c r="VRS31" s="53"/>
      <c r="VRW31" s="28"/>
      <c r="VRY31" s="55"/>
      <c r="VRZ31" s="53"/>
      <c r="VSD31" s="28"/>
      <c r="VSF31" s="55"/>
      <c r="VSG31" s="53"/>
      <c r="VSK31" s="28"/>
      <c r="VSM31" s="55"/>
      <c r="VSN31" s="53"/>
      <c r="VSR31" s="28"/>
      <c r="VST31" s="55"/>
      <c r="VSU31" s="53"/>
      <c r="VSY31" s="28"/>
      <c r="VTA31" s="55"/>
      <c r="VTB31" s="53"/>
      <c r="VTF31" s="28"/>
      <c r="VTH31" s="55"/>
      <c r="VTI31" s="53"/>
      <c r="VTM31" s="28"/>
      <c r="VTO31" s="55"/>
      <c r="VTP31" s="53"/>
      <c r="VTT31" s="28"/>
      <c r="VTV31" s="55"/>
      <c r="VTW31" s="53"/>
      <c r="VUA31" s="28"/>
      <c r="VUC31" s="55"/>
      <c r="VUD31" s="53"/>
      <c r="VUH31" s="28"/>
      <c r="VUJ31" s="55"/>
      <c r="VUK31" s="53"/>
      <c r="VUO31" s="28"/>
      <c r="VUQ31" s="55"/>
      <c r="VUR31" s="53"/>
      <c r="VUV31" s="28"/>
      <c r="VUX31" s="55"/>
      <c r="VUY31" s="53"/>
      <c r="VVC31" s="28"/>
      <c r="VVE31" s="55"/>
      <c r="VVF31" s="53"/>
      <c r="VVJ31" s="28"/>
      <c r="VVL31" s="55"/>
      <c r="VVM31" s="53"/>
      <c r="VVQ31" s="28"/>
      <c r="VVS31" s="55"/>
      <c r="VVT31" s="53"/>
      <c r="VVX31" s="28"/>
      <c r="VVZ31" s="55"/>
      <c r="VWA31" s="53"/>
      <c r="VWE31" s="28"/>
      <c r="VWG31" s="55"/>
      <c r="VWH31" s="53"/>
      <c r="VWL31" s="28"/>
      <c r="VWN31" s="55"/>
      <c r="VWO31" s="53"/>
      <c r="VWS31" s="28"/>
      <c r="VWU31" s="55"/>
      <c r="VWV31" s="53"/>
      <c r="VWZ31" s="28"/>
      <c r="VXB31" s="55"/>
      <c r="VXC31" s="53"/>
      <c r="VXG31" s="28"/>
      <c r="VXI31" s="55"/>
      <c r="VXJ31" s="53"/>
      <c r="VXN31" s="28"/>
      <c r="VXP31" s="55"/>
      <c r="VXQ31" s="53"/>
      <c r="VXU31" s="28"/>
      <c r="VXW31" s="55"/>
      <c r="VXX31" s="53"/>
      <c r="VYB31" s="28"/>
      <c r="VYD31" s="55"/>
      <c r="VYE31" s="53"/>
      <c r="VYI31" s="28"/>
      <c r="VYK31" s="55"/>
      <c r="VYL31" s="53"/>
      <c r="VYP31" s="28"/>
      <c r="VYR31" s="55"/>
      <c r="VYS31" s="53"/>
      <c r="VYW31" s="28"/>
      <c r="VYY31" s="55"/>
      <c r="VYZ31" s="53"/>
      <c r="VZD31" s="28"/>
      <c r="VZF31" s="55"/>
      <c r="VZG31" s="53"/>
      <c r="VZK31" s="28"/>
      <c r="VZM31" s="55"/>
      <c r="VZN31" s="53"/>
      <c r="VZR31" s="28"/>
      <c r="VZT31" s="55"/>
      <c r="VZU31" s="53"/>
      <c r="VZY31" s="28"/>
      <c r="WAA31" s="55"/>
      <c r="WAB31" s="53"/>
      <c r="WAF31" s="28"/>
      <c r="WAH31" s="55"/>
      <c r="WAI31" s="53"/>
      <c r="WAM31" s="28"/>
      <c r="WAO31" s="55"/>
      <c r="WAP31" s="53"/>
      <c r="WAT31" s="28"/>
      <c r="WAV31" s="55"/>
      <c r="WAW31" s="53"/>
      <c r="WBA31" s="28"/>
      <c r="WBC31" s="55"/>
      <c r="WBD31" s="53"/>
      <c r="WBH31" s="28"/>
      <c r="WBJ31" s="55"/>
      <c r="WBK31" s="53"/>
      <c r="WBO31" s="28"/>
      <c r="WBQ31" s="55"/>
      <c r="WBR31" s="53"/>
      <c r="WBV31" s="28"/>
      <c r="WBX31" s="55"/>
      <c r="WBY31" s="53"/>
      <c r="WCC31" s="28"/>
      <c r="WCE31" s="55"/>
      <c r="WCF31" s="53"/>
      <c r="WCJ31" s="28"/>
      <c r="WCL31" s="55"/>
      <c r="WCM31" s="53"/>
      <c r="WCQ31" s="28"/>
      <c r="WCS31" s="55"/>
      <c r="WCT31" s="53"/>
      <c r="WCX31" s="28"/>
      <c r="WCZ31" s="55"/>
      <c r="WDA31" s="53"/>
      <c r="WDE31" s="28"/>
      <c r="WDG31" s="55"/>
      <c r="WDH31" s="53"/>
      <c r="WDL31" s="28"/>
      <c r="WDN31" s="55"/>
      <c r="WDO31" s="53"/>
      <c r="WDS31" s="28"/>
      <c r="WDU31" s="55"/>
      <c r="WDV31" s="53"/>
      <c r="WDZ31" s="28"/>
      <c r="WEB31" s="55"/>
      <c r="WEC31" s="53"/>
      <c r="WEG31" s="28"/>
      <c r="WEI31" s="55"/>
      <c r="WEJ31" s="53"/>
      <c r="WEN31" s="28"/>
      <c r="WEP31" s="55"/>
      <c r="WEQ31" s="53"/>
      <c r="WEU31" s="28"/>
      <c r="WEW31" s="55"/>
      <c r="WEX31" s="53"/>
      <c r="WFB31" s="28"/>
      <c r="WFD31" s="55"/>
      <c r="WFE31" s="53"/>
      <c r="WFI31" s="28"/>
      <c r="WFK31" s="55"/>
      <c r="WFL31" s="53"/>
      <c r="WFP31" s="28"/>
      <c r="WFR31" s="55"/>
      <c r="WFS31" s="53"/>
      <c r="WFW31" s="28"/>
      <c r="WFY31" s="55"/>
      <c r="WFZ31" s="53"/>
      <c r="WGD31" s="28"/>
      <c r="WGF31" s="55"/>
      <c r="WGG31" s="53"/>
      <c r="WGK31" s="28"/>
      <c r="WGM31" s="55"/>
      <c r="WGN31" s="53"/>
      <c r="WGR31" s="28"/>
      <c r="WGT31" s="55"/>
      <c r="WGU31" s="53"/>
      <c r="WGY31" s="28"/>
      <c r="WHA31" s="55"/>
      <c r="WHB31" s="53"/>
      <c r="WHF31" s="28"/>
      <c r="WHH31" s="55"/>
      <c r="WHI31" s="53"/>
      <c r="WHM31" s="28"/>
      <c r="WHO31" s="55"/>
      <c r="WHP31" s="53"/>
      <c r="WHT31" s="28"/>
      <c r="WHV31" s="55"/>
      <c r="WHW31" s="53"/>
      <c r="WIA31" s="28"/>
      <c r="WIC31" s="55"/>
      <c r="WID31" s="53"/>
      <c r="WIH31" s="28"/>
      <c r="WIJ31" s="55"/>
      <c r="WIK31" s="53"/>
      <c r="WIO31" s="28"/>
      <c r="WIQ31" s="55"/>
      <c r="WIR31" s="53"/>
      <c r="WIV31" s="28"/>
      <c r="WIX31" s="55"/>
      <c r="WIY31" s="53"/>
      <c r="WJC31" s="28"/>
      <c r="WJE31" s="55"/>
      <c r="WJF31" s="53"/>
      <c r="WJJ31" s="28"/>
      <c r="WJL31" s="55"/>
      <c r="WJM31" s="53"/>
      <c r="WJQ31" s="28"/>
      <c r="WJS31" s="55"/>
      <c r="WJT31" s="53"/>
      <c r="WJX31" s="28"/>
      <c r="WJZ31" s="55"/>
      <c r="WKA31" s="53"/>
      <c r="WKE31" s="28"/>
      <c r="WKG31" s="55"/>
      <c r="WKH31" s="53"/>
      <c r="WKL31" s="28"/>
      <c r="WKN31" s="55"/>
      <c r="WKO31" s="53"/>
      <c r="WKS31" s="28"/>
      <c r="WKU31" s="55"/>
      <c r="WKV31" s="53"/>
      <c r="WKZ31" s="28"/>
      <c r="WLB31" s="55"/>
      <c r="WLC31" s="53"/>
      <c r="WLG31" s="28"/>
      <c r="WLI31" s="55"/>
      <c r="WLJ31" s="53"/>
      <c r="WLN31" s="28"/>
      <c r="WLP31" s="55"/>
      <c r="WLQ31" s="53"/>
      <c r="WLU31" s="28"/>
      <c r="WLW31" s="55"/>
      <c r="WLX31" s="53"/>
      <c r="WMB31" s="28"/>
      <c r="WMD31" s="55"/>
      <c r="WME31" s="53"/>
      <c r="WMI31" s="28"/>
      <c r="WMK31" s="55"/>
      <c r="WML31" s="53"/>
      <c r="WMP31" s="28"/>
      <c r="WMR31" s="55"/>
      <c r="WMS31" s="53"/>
      <c r="WMW31" s="28"/>
      <c r="WMY31" s="55"/>
      <c r="WMZ31" s="53"/>
      <c r="WND31" s="28"/>
      <c r="WNF31" s="55"/>
      <c r="WNG31" s="53"/>
      <c r="WNK31" s="28"/>
      <c r="WNM31" s="55"/>
      <c r="WNN31" s="53"/>
      <c r="WNR31" s="28"/>
      <c r="WNT31" s="55"/>
      <c r="WNU31" s="53"/>
      <c r="WNY31" s="28"/>
      <c r="WOA31" s="55"/>
      <c r="WOB31" s="53"/>
      <c r="WOF31" s="28"/>
      <c r="WOH31" s="55"/>
      <c r="WOI31" s="53"/>
      <c r="WOM31" s="28"/>
      <c r="WOO31" s="55"/>
      <c r="WOP31" s="53"/>
      <c r="WOT31" s="28"/>
      <c r="WOV31" s="55"/>
      <c r="WOW31" s="53"/>
      <c r="WPA31" s="28"/>
      <c r="WPC31" s="55"/>
      <c r="WPD31" s="53"/>
      <c r="WPH31" s="28"/>
      <c r="WPJ31" s="55"/>
      <c r="WPK31" s="53"/>
      <c r="WPO31" s="28"/>
      <c r="WPQ31" s="55"/>
      <c r="WPR31" s="53"/>
      <c r="WPV31" s="28"/>
      <c r="WPX31" s="55"/>
      <c r="WPY31" s="53"/>
      <c r="WQC31" s="28"/>
      <c r="WQE31" s="55"/>
      <c r="WQF31" s="53"/>
      <c r="WQJ31" s="28"/>
      <c r="WQL31" s="55"/>
      <c r="WQM31" s="53"/>
      <c r="WQQ31" s="28"/>
      <c r="WQS31" s="55"/>
      <c r="WQT31" s="53"/>
      <c r="WQX31" s="28"/>
      <c r="WQZ31" s="55"/>
      <c r="WRA31" s="53"/>
      <c r="WRE31" s="28"/>
      <c r="WRG31" s="55"/>
      <c r="WRH31" s="53"/>
      <c r="WRL31" s="28"/>
      <c r="WRN31" s="55"/>
      <c r="WRO31" s="53"/>
      <c r="WRS31" s="28"/>
      <c r="WRU31" s="55"/>
      <c r="WRV31" s="53"/>
      <c r="WRZ31" s="28"/>
      <c r="WSB31" s="55"/>
      <c r="WSC31" s="53"/>
      <c r="WSG31" s="28"/>
      <c r="WSI31" s="55"/>
      <c r="WSJ31" s="53"/>
      <c r="WSN31" s="28"/>
      <c r="WSP31" s="55"/>
      <c r="WSQ31" s="53"/>
      <c r="WSU31" s="28"/>
      <c r="WSW31" s="55"/>
      <c r="WSX31" s="53"/>
      <c r="WTB31" s="28"/>
      <c r="WTD31" s="55"/>
      <c r="WTE31" s="53"/>
      <c r="WTI31" s="28"/>
      <c r="WTK31" s="55"/>
      <c r="WTL31" s="53"/>
      <c r="WTP31" s="28"/>
      <c r="WTR31" s="55"/>
      <c r="WTS31" s="53"/>
      <c r="WTW31" s="28"/>
      <c r="WTY31" s="55"/>
      <c r="WTZ31" s="53"/>
      <c r="WUD31" s="28"/>
      <c r="WUF31" s="55"/>
      <c r="WUG31" s="53"/>
      <c r="WUK31" s="28"/>
      <c r="WUM31" s="55"/>
      <c r="WUN31" s="53"/>
      <c r="WUR31" s="28"/>
      <c r="WUT31" s="55"/>
      <c r="WUU31" s="53"/>
      <c r="WUY31" s="28"/>
      <c r="WVA31" s="55"/>
      <c r="WVB31" s="53"/>
      <c r="WVF31" s="28"/>
      <c r="WVH31" s="55"/>
      <c r="WVI31" s="53"/>
      <c r="WVM31" s="28"/>
      <c r="WVO31" s="55"/>
      <c r="WVP31" s="53"/>
      <c r="WVT31" s="28"/>
      <c r="WVV31" s="55"/>
      <c r="WVW31" s="53"/>
      <c r="WWA31" s="28"/>
      <c r="WWC31" s="55"/>
      <c r="WWD31" s="53"/>
      <c r="WWH31" s="28"/>
      <c r="WWJ31" s="55"/>
      <c r="WWK31" s="53"/>
      <c r="WWO31" s="28"/>
      <c r="WWQ31" s="55"/>
      <c r="WWR31" s="53"/>
      <c r="WWV31" s="28"/>
      <c r="WWX31" s="55"/>
      <c r="WWY31" s="53"/>
      <c r="WXC31" s="28"/>
      <c r="WXE31" s="55"/>
      <c r="WXF31" s="53"/>
      <c r="WXJ31" s="28"/>
      <c r="WXL31" s="55"/>
      <c r="WXM31" s="53"/>
      <c r="WXQ31" s="28"/>
      <c r="WXS31" s="55"/>
      <c r="WXT31" s="53"/>
      <c r="WXX31" s="28"/>
      <c r="WXZ31" s="55"/>
      <c r="WYA31" s="53"/>
      <c r="WYE31" s="28"/>
      <c r="WYG31" s="55"/>
      <c r="WYH31" s="53"/>
      <c r="WYL31" s="28"/>
      <c r="WYN31" s="55"/>
      <c r="WYO31" s="53"/>
      <c r="WYS31" s="28"/>
      <c r="WYU31" s="55"/>
      <c r="WYV31" s="53"/>
      <c r="WYZ31" s="28"/>
      <c r="WZB31" s="55"/>
      <c r="WZC31" s="53"/>
      <c r="WZG31" s="28"/>
      <c r="WZI31" s="55"/>
      <c r="WZJ31" s="53"/>
      <c r="WZN31" s="28"/>
      <c r="WZP31" s="55"/>
      <c r="WZQ31" s="53"/>
      <c r="WZU31" s="28"/>
      <c r="WZW31" s="55"/>
      <c r="WZX31" s="53"/>
      <c r="XAB31" s="28"/>
      <c r="XAD31" s="55"/>
      <c r="XAE31" s="53"/>
      <c r="XAI31" s="28"/>
      <c r="XAK31" s="55"/>
      <c r="XAL31" s="53"/>
      <c r="XAP31" s="28"/>
      <c r="XAR31" s="55"/>
      <c r="XAS31" s="53"/>
      <c r="XAW31" s="28"/>
      <c r="XAY31" s="55"/>
      <c r="XAZ31" s="53"/>
      <c r="XBD31" s="28"/>
      <c r="XBF31" s="55"/>
      <c r="XBG31" s="53"/>
      <c r="XBK31" s="28"/>
      <c r="XBM31" s="55"/>
      <c r="XBN31" s="53"/>
      <c r="XBR31" s="28"/>
      <c r="XBT31" s="55"/>
      <c r="XBU31" s="53"/>
      <c r="XBY31" s="28"/>
      <c r="XCA31" s="55"/>
      <c r="XCB31" s="53"/>
      <c r="XCF31" s="28"/>
      <c r="XCH31" s="55"/>
      <c r="XCI31" s="53"/>
      <c r="XCM31" s="28"/>
      <c r="XCO31" s="55"/>
      <c r="XCP31" s="53"/>
      <c r="XCT31" s="28"/>
      <c r="XCV31" s="55"/>
      <c r="XCW31" s="53"/>
      <c r="XDA31" s="28"/>
      <c r="XDC31" s="55"/>
      <c r="XDD31" s="53"/>
      <c r="XDH31" s="28"/>
      <c r="XDJ31" s="55"/>
      <c r="XDK31" s="53"/>
      <c r="XDO31" s="28"/>
      <c r="XDQ31" s="55"/>
      <c r="XDR31" s="53"/>
      <c r="XDV31" s="28"/>
      <c r="XDX31" s="55"/>
      <c r="XDY31" s="53"/>
      <c r="XEC31" s="28"/>
      <c r="XEE31" s="55"/>
      <c r="XEF31" s="53"/>
      <c r="XEJ31" s="28"/>
      <c r="XEL31" s="55"/>
      <c r="XEM31" s="53"/>
      <c r="XEQ31" s="28"/>
      <c r="XES31" s="55"/>
      <c r="XET31" s="53"/>
      <c r="XEX31" s="28"/>
      <c r="XEZ31" s="55"/>
      <c r="XFA31" s="53"/>
    </row>
  </sheetData>
  <protectedRanges>
    <protectedRange sqref="G7 G10 G23:G24 G29 G13:G15" name="Intervalo1_57_1"/>
    <protectedRange sqref="G30" name="Intervalo1_57_1_1"/>
  </protectedRanges>
  <pageMargins left="0.51181102362204722" right="0.51181102362204722" top="0.78740157480314965" bottom="0.78740157480314965" header="0.31496062992125984" footer="0.31496062992125984"/>
  <pageSetup paperSize="9" fitToWidth="5" fitToHeight="6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1679F-BD10-4393-8365-4FA8D80FB45F}">
  <sheetPr codeName="Planilha2"/>
  <dimension ref="C2:C10"/>
  <sheetViews>
    <sheetView workbookViewId="0"/>
  </sheetViews>
  <sheetFormatPr defaultRowHeight="14.25"/>
  <sheetData>
    <row r="2" spans="3:3">
      <c r="C2" t="s">
        <v>250</v>
      </c>
    </row>
    <row r="3" spans="3:3">
      <c r="C3" t="s">
        <v>52</v>
      </c>
    </row>
    <row r="4" spans="3:3">
      <c r="C4" t="s">
        <v>65</v>
      </c>
    </row>
    <row r="5" spans="3:3">
      <c r="C5" t="s">
        <v>251</v>
      </c>
    </row>
    <row r="6" spans="3:3">
      <c r="C6" t="s">
        <v>252</v>
      </c>
    </row>
    <row r="7" spans="3:3">
      <c r="C7" t="s">
        <v>253</v>
      </c>
    </row>
    <row r="8" spans="3:3">
      <c r="C8" t="s">
        <v>254</v>
      </c>
    </row>
    <row r="9" spans="3:3">
      <c r="C9" t="s">
        <v>175</v>
      </c>
    </row>
    <row r="10" spans="3:3">
      <c r="C10" t="s">
        <v>255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Consolidado</vt:lpstr>
      <vt:lpstr>Autorizados</vt:lpstr>
      <vt:lpstr>Aprovação</vt:lpstr>
      <vt:lpstr>Apoio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Danilo Perecin</dc:creator>
  <cp:keywords/>
  <dc:description/>
  <cp:lastModifiedBy>Anderson Luiz Silva Pelluso</cp:lastModifiedBy>
  <cp:revision/>
  <dcterms:created xsi:type="dcterms:W3CDTF">2024-07-20T00:14:59Z</dcterms:created>
  <dcterms:modified xsi:type="dcterms:W3CDTF">2024-09-16T17:49:44Z</dcterms:modified>
  <cp:category/>
  <cp:contentStatus/>
</cp:coreProperties>
</file>